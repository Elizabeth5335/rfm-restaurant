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M_analysis" sheetId="1" r:id="rId5"/>
    <sheet state="visible" name="restaurants_dataset" sheetId="2" r:id="rId6"/>
    <sheet state="visible" name="clean_data" sheetId="3" r:id="rId7"/>
  </sheets>
  <definedNames>
    <definedName hidden="1" localSheetId="1" name="_xlnm._FilterDatabase">restaurants_dataset!$A$1:$Z$1000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<sst xmlns="http://schemas.openxmlformats.org/spreadsheetml/2006/main" count="4916" uniqueCount="72">
  <si>
    <t>customer_id</t>
  </si>
  <si>
    <t>last order</t>
  </si>
  <si>
    <t>Days from last order</t>
  </si>
  <si>
    <t>Count of orders</t>
  </si>
  <si>
    <t>Revenue</t>
  </si>
  <si>
    <t>R_score</t>
  </si>
  <si>
    <t>F_score</t>
  </si>
  <si>
    <t>M_Score</t>
  </si>
  <si>
    <t>RFM_Score</t>
  </si>
  <si>
    <t>RFM_Category</t>
  </si>
  <si>
    <t>Categories:
1-3 - At Risk
4-6 - Need Attention
7-9 - Average
10-12 - Potentially loyal
13-15 - Loyal</t>
  </si>
  <si>
    <t>Customers</t>
  </si>
  <si>
    <t>1. Loyal</t>
  </si>
  <si>
    <t>2. Potentially Loyal</t>
  </si>
  <si>
    <t>3. Average</t>
  </si>
  <si>
    <t>4. Need Attention</t>
  </si>
  <si>
    <t>5. At Risk</t>
  </si>
  <si>
    <t>Grand Total</t>
  </si>
  <si>
    <t>order_id</t>
  </si>
  <si>
    <t>restaurant_name</t>
  </si>
  <si>
    <t>country</t>
  </si>
  <si>
    <t>city</t>
  </si>
  <si>
    <t>order_date</t>
  </si>
  <si>
    <t>order_value</t>
  </si>
  <si>
    <t>payment_method</t>
  </si>
  <si>
    <t>status</t>
  </si>
  <si>
    <t>Burger Hub</t>
  </si>
  <si>
    <t>Czech Republic</t>
  </si>
  <si>
    <t>Prague</t>
  </si>
  <si>
    <t>card</t>
  </si>
  <si>
    <t>refunded</t>
  </si>
  <si>
    <t>Sushi Bar</t>
  </si>
  <si>
    <t>Warsaw</t>
  </si>
  <si>
    <t>completed</t>
  </si>
  <si>
    <t>Pizza Place</t>
  </si>
  <si>
    <t>Berlin</t>
  </si>
  <si>
    <t>qr</t>
  </si>
  <si>
    <t>Ukraine</t>
  </si>
  <si>
    <t>Vegan Spot</t>
  </si>
  <si>
    <t>error</t>
  </si>
  <si>
    <t>cash</t>
  </si>
  <si>
    <t>cancelled</t>
  </si>
  <si>
    <t>Germany</t>
  </si>
  <si>
    <t>Kyiv</t>
  </si>
  <si>
    <t>Cafe Latte</t>
  </si>
  <si>
    <t>Poland</t>
  </si>
  <si>
    <t>29/01/2025</t>
  </si>
  <si>
    <t>31/01/2025</t>
  </si>
  <si>
    <t>17/02/2025</t>
  </si>
  <si>
    <t>27/02/2025</t>
  </si>
  <si>
    <t>22/03/2025</t>
  </si>
  <si>
    <t>14/02/2025</t>
  </si>
  <si>
    <t>30/03/2025</t>
  </si>
  <si>
    <t>correct_country</t>
  </si>
  <si>
    <t>correct_city</t>
  </si>
  <si>
    <t>is_city_valid</t>
  </si>
  <si>
    <t>Czech Rep.</t>
  </si>
  <si>
    <t>order_id -- removed nulls</t>
  </si>
  <si>
    <t>undefined</t>
  </si>
  <si>
    <t>payment_method - replaced nulls with "undefined"</t>
  </si>
  <si>
    <t>order_value -- replaced 'error' with nulls</t>
  </si>
  <si>
    <t>UA</t>
  </si>
  <si>
    <t xml:space="preserve">city contains ~25% invalid data. So it should not be used for analytics. </t>
  </si>
  <si>
    <t>Countries Dictionary</t>
  </si>
  <si>
    <t>All countries</t>
  </si>
  <si>
    <t>Correct Names</t>
  </si>
  <si>
    <t>Correct City</t>
  </si>
  <si>
    <t>CZ</t>
  </si>
  <si>
    <t>PL</t>
  </si>
  <si>
    <t>Польща</t>
  </si>
  <si>
    <t>valid_cities</t>
  </si>
  <si>
    <t>invalis_cities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</si>
</sst>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.&quot;mm&quot;.&quot;yyyy"/>
    <numFmt numFmtId="165" formatCode="&quot;$&quot;#,##0.00"/>
    <numFmt numFmtId="166" formatCode="yyyy-mm-dd"/>
    <numFmt numFmtId="167" formatCode="mm/d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093B3"/>
        <bgColor rgb="FF8093B3"/>
      </patternFill>
    </fill>
    <fill>
      <patternFill patternType="solid">
        <fgColor rgb="FFF3F3F3"/>
        <bgColor rgb="FFF3F3F3"/>
      </patternFill>
    </fill>
  </fills>
  <borders count="5">
    <border/>
    <border>
      <bottom style="thick">
        <color rgb="FF8093B3"/>
      </bottom>
    </border>
    <border>
      <right style="thick">
        <color rgb="FF8093B3"/>
      </right>
      <bottom style="thick">
        <color rgb="FF8093B3"/>
      </bottom>
    </border>
    <border>
      <left style="thick">
        <color rgb="FF8093B3"/>
      </left>
      <right style="thick">
        <color rgb="FF8093B3"/>
      </right>
    </border>
    <border>
      <left style="thick">
        <color rgb="FF8093B3"/>
      </left>
      <right style="thick">
        <color rgb="FF8093B3"/>
      </right>
      <bottom style="thick">
        <color rgb="FF8093B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1" numFmtId="0" xfId="0" applyFont="1"/>
    <xf borderId="1" fillId="2" fontId="2" numFmtId="165" xfId="0" applyBorder="1" applyFill="1" applyFont="1" applyNumberFormat="1"/>
    <xf borderId="2" fillId="2" fontId="2" numFmtId="165" xfId="0" applyBorder="1" applyFont="1" applyNumberFormat="1"/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4" fillId="0" fontId="1" numFmtId="0" xfId="0" applyBorder="1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89" sheet="clean_data"/>
  </cacheSource>
  <cacheFields>
    <cacheField name="order_id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3.0"/>
        <n v="314.0"/>
        <n v="315.0"/>
        <n v="316.0"/>
        <n v="317.0"/>
        <n v="318.0"/>
        <n v="319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2.0"/>
        <n v="393.0"/>
        <n v="394.0"/>
        <n v="395.0"/>
        <n v="396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30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</sharedItems>
    </cacheField>
    <cacheField name="restaurant_name" numFmtId="0">
      <sharedItems>
        <s v="Burger Hub"/>
        <s v="Sushi Bar"/>
        <s v="Pizza Place"/>
        <s v="Vegan Spot"/>
        <s v="Cafe Latte"/>
      </sharedItems>
    </cacheField>
    <cacheField name="country" numFmtId="0">
      <sharedItems>
        <s v="Czech Rep."/>
        <s v="Czech Republic"/>
        <s v="UA"/>
        <s v="Ukraine"/>
        <s v="Germany"/>
        <s v="Poland"/>
        <s v="CZ"/>
        <s v="PL"/>
        <s v="Польща"/>
      </sharedItems>
    </cacheField>
    <cacheField name="city" numFmtId="0">
      <sharedItems>
        <s v="Prague"/>
        <s v="Warsaw"/>
        <s v="Berlin"/>
        <s v="Kyiv"/>
      </sharedItems>
    </cacheField>
    <cacheField name="order_date" numFmtId="164">
      <sharedItems containsSemiMixedTypes="0" containsDate="1" containsString="0">
        <d v="2025-03-23T00:00:00Z"/>
        <d v="2025-01-05T00:00:00Z"/>
        <d v="2025-03-17T00:00:00Z"/>
        <d v="2025-02-18T00:00:00Z"/>
        <d v="2025-02-07T00:00:00Z"/>
        <d v="2025-04-20T00:00:00Z"/>
        <d v="2025-02-04T00:00:00Z"/>
        <d v="2025-04-18T00:00:00Z"/>
        <d v="2025-03-05T00:00:00Z"/>
        <d v="2025-02-16T00:00:00Z"/>
        <d v="2025-03-18T00:00:00Z"/>
        <d v="2025-04-07T00:00:00Z"/>
        <d v="2025-01-23T00:00:00Z"/>
        <d v="2025-04-15T00:00:00Z"/>
        <d v="2025-01-29T00:00:00Z"/>
        <d v="2025-01-10T00:00:00Z"/>
        <d v="2025-03-02T00:00:00Z"/>
        <d v="2025-03-24T00:00:00Z"/>
        <d v="2025-03-01T00:00:00Z"/>
        <d v="2025-02-22T00:00:00Z"/>
        <d v="2025-04-11T00:00:00Z"/>
        <d v="2025-01-08T00:00:00Z"/>
        <d v="2025-02-21T00:00:00Z"/>
        <d v="2025-03-27T00:00:00Z"/>
        <d v="2025-03-21T00:00:00Z"/>
        <d v="2025-02-06T00:00:00Z"/>
        <d v="2025-01-15T00:00:00Z"/>
        <d v="2025-02-02T00:00:00Z"/>
        <d v="2025-02-03T00:00:00Z"/>
        <d v="2025-04-17T00:00:00Z"/>
        <d v="2025-03-29T00:00:00Z"/>
        <d v="2025-04-23T00:00:00Z"/>
        <d v="2025-03-31T00:00:00Z"/>
        <d v="2025-03-26T00:00:00Z"/>
        <d v="2025-02-12T00:00:00Z"/>
        <d v="2025-04-29T00:00:00Z"/>
        <d v="2025-04-03T00:00:00Z"/>
        <d v="2025-05-01T00:00:00Z"/>
        <d v="2025-01-04T00:00:00Z"/>
        <d v="2025-02-01T00:00:00Z"/>
        <d v="2025-02-05T00:00:00Z"/>
        <d v="2025-04-25T00:00:00Z"/>
        <d v="2025-03-11T00:00:00Z"/>
        <d v="2025-03-10T00:00:00Z"/>
        <d v="2025-02-11T00:00:00Z"/>
        <d v="2025-04-06T00:00:00Z"/>
        <d v="2025-03-19T00:00:00Z"/>
        <d v="2025-04-27T00:00:00Z"/>
        <d v="2025-04-14T00:00:00Z"/>
        <d v="2025-04-16T00:00:00Z"/>
        <d v="2025-04-10T00:00:00Z"/>
        <d v="2025-03-09T00:00:00Z"/>
        <d v="2025-02-10T00:00:00Z"/>
        <d v="2025-02-08T00:00:00Z"/>
        <d v="2025-01-30T00:00:00Z"/>
        <d v="2025-03-16T00:00:00Z"/>
        <d v="2025-03-30T00:00:00Z"/>
        <d v="2025-02-09T00:00:00Z"/>
        <d v="2025-04-28T00:00:00Z"/>
        <d v="2025-04-22T00:00:00Z"/>
        <d v="2025-02-19T00:00:00Z"/>
        <d v="2025-01-19T00:00:00Z"/>
        <d v="2025-01-21T00:00:00Z"/>
        <d v="2025-01-31T00:00:00Z"/>
        <d v="2025-03-28T00:00:00Z"/>
        <d v="2025-04-04T00:00:00Z"/>
        <d v="2025-02-26T00:00:00Z"/>
        <d v="2025-01-16T00:00:00Z"/>
        <d v="2025-01-17T00:00:00Z"/>
        <d v="2025-04-24T00:00:00Z"/>
        <d v="2025-03-14T00:00:00Z"/>
        <d v="2025-02-17T00:00:00Z"/>
        <d v="2025-04-09T00:00:00Z"/>
        <d v="2025-04-01T00:00:00Z"/>
        <d v="2025-03-15T00:00:00Z"/>
        <d v="2025-02-28T00:00:00Z"/>
        <d v="2025-03-22T00:00:00Z"/>
        <d v="2025-03-25T00:00:00Z"/>
        <d v="2025-03-06T00:00:00Z"/>
        <d v="2025-02-13T00:00:00Z"/>
        <d v="2025-02-27T00:00:00Z"/>
        <d v="2025-01-07T00:00:00Z"/>
        <d v="2025-01-01T00:00:00Z"/>
        <d v="2025-02-23T00:00:00Z"/>
        <d v="2025-01-06T00:00:00Z"/>
        <d v="2025-03-07T00:00:00Z"/>
        <d v="2025-04-13T00:00:00Z"/>
        <d v="2025-01-26T00:00:00Z"/>
        <d v="2025-01-12T00:00:00Z"/>
        <d v="2025-01-02T00:00:00Z"/>
        <d v="2025-03-13T00:00:00Z"/>
        <d v="2025-02-20T00:00:00Z"/>
        <d v="2025-04-02T00:00:00Z"/>
        <d v="2025-03-20T00:00:00Z"/>
        <d v="2025-03-08T00:00:00Z"/>
        <d v="2025-01-27T00:00:00Z"/>
        <d v="2025-02-14T00:00:00Z"/>
        <d v="2025-04-30T00:00:00Z"/>
        <d v="2025-03-03T00:00:00Z"/>
        <d v="2025-01-20T00:00:00Z"/>
        <d v="2025-01-28T00:00:00Z"/>
        <d v="2025-01-09T00:00:00Z"/>
        <d v="2025-02-24T00:00:00Z"/>
        <d v="2025-01-24T00:00:00Z"/>
        <d v="2025-04-05T00:00:00Z"/>
        <d v="2025-01-11T00:00:00Z"/>
        <d v="2025-03-12T00:00:00Z"/>
        <d v="2025-01-18T00:00:00Z"/>
        <d v="2025-03-04T00:00:00Z"/>
        <d v="2025-04-21T00:00:00Z"/>
        <d v="2025-04-12T00:00:00Z"/>
        <d v="2025-02-25T00:00:00Z"/>
        <d v="2025-02-15T00:00:00Z"/>
        <d v="2025-04-26T00:00:00Z"/>
        <d v="2025-04-19T00:00:00Z"/>
        <d v="2025-01-14T00:00:00Z"/>
        <d v="2025-01-13T00:00:00Z"/>
        <d v="2025-01-03T00:00:00Z"/>
      </sharedItems>
    </cacheField>
    <cacheField name="order_value" numFmtId="0">
      <sharedItems containsString="0" containsBlank="1" containsNumber="1">
        <n v="75.36"/>
        <n v="71.63"/>
        <n v="95.94"/>
        <n v="97.45"/>
        <m/>
        <n v="20.45"/>
        <n v="99.0"/>
        <n v="11.29"/>
        <n v="56.2"/>
        <n v="19.52"/>
        <n v="6.09"/>
        <n v="95.61"/>
        <n v="56.24"/>
        <n v="20.69"/>
        <n v="46.62"/>
        <n v="10.59"/>
        <n v="88.83"/>
        <n v="44.05"/>
        <n v="47.62"/>
        <n v="84.42"/>
        <n v="10.56"/>
        <n v="22.65"/>
        <n v="60.45"/>
        <n v="48.44"/>
        <n v="38.16"/>
        <n v="93.52"/>
        <n v="37.57"/>
        <n v="70.65"/>
        <n v="90.4"/>
        <n v="92.95"/>
        <n v="82.02"/>
        <n v="38.22"/>
        <n v="65.94"/>
        <n v="8.63"/>
        <n v="9.22"/>
        <n v="36.37"/>
        <n v="57.67"/>
        <n v="49.95"/>
        <n v="68.92"/>
        <n v="23.47"/>
        <n v="71.11"/>
        <n v="98.85"/>
        <n v="50.09"/>
        <n v="32.14"/>
        <n v="25.33"/>
        <n v="94.88"/>
        <n v="73.8"/>
        <n v="48.86"/>
        <n v="45.05"/>
        <n v="76.65"/>
        <n v="71.45"/>
        <n v="28.07"/>
        <n v="11.55"/>
        <n v="74.71"/>
        <n v="13.23"/>
        <n v="51.32"/>
        <n v="51.41"/>
        <n v="28.11"/>
        <n v="28.88"/>
        <n v="73.84"/>
        <n v="9.32"/>
        <n v="46.84"/>
        <n v="70.21"/>
        <n v="26.44"/>
        <n v="95.02"/>
        <n v="43.81"/>
        <n v="79.84"/>
        <n v="34.22"/>
        <n v="89.5"/>
        <n v="21.64"/>
        <n v="68.66"/>
        <n v="16.01"/>
        <n v="76.86"/>
        <n v="62.84"/>
        <n v="15.78"/>
        <n v="28.15"/>
        <n v="37.29"/>
        <n v="36.58"/>
        <n v="35.23"/>
        <n v="36.54"/>
        <n v="12.11"/>
        <n v="89.31"/>
        <n v="65.21"/>
        <n v="40.61"/>
        <n v="63.87"/>
        <n v="49.2"/>
        <n v="33.7"/>
        <n v="42.6"/>
        <n v="81.18"/>
        <n v="60.06"/>
        <n v="39.76"/>
        <n v="12.15"/>
        <n v="7.38"/>
        <n v="75.6"/>
        <n v="31.58"/>
        <n v="39.07"/>
        <n v="7.03"/>
        <n v="78.57"/>
        <n v="79.9"/>
        <n v="53.76"/>
        <n v="16.99"/>
        <n v="67.2"/>
        <n v="45.54"/>
        <n v="75.19"/>
        <n v="94.41"/>
        <n v="85.49"/>
        <n v="82.75"/>
        <n v="37.28"/>
        <n v="40.74"/>
        <n v="9.73"/>
        <n v="15.81"/>
        <n v="10.2"/>
        <n v="45.91"/>
        <n v="46.44"/>
        <n v="60.94"/>
        <n v="53.45"/>
        <n v="62.23"/>
        <n v="19.34"/>
        <n v="47.93"/>
        <n v="75.2"/>
        <n v="82.04"/>
        <n v="62.93"/>
        <n v="69.45"/>
        <n v="92.09"/>
        <n v="36.21"/>
        <n v="33.1"/>
        <n v="61.74"/>
        <n v="73.36"/>
        <n v="49.56"/>
        <n v="20.4"/>
        <n v="16.84"/>
        <n v="47.86"/>
        <n v="7.68"/>
        <n v="83.96"/>
        <n v="74.09"/>
        <n v="48.43"/>
        <n v="79.71"/>
        <n v="27.91"/>
        <n v="79.02"/>
        <n v="80.16"/>
        <n v="32.18"/>
        <n v="41.73"/>
        <n v="20.83"/>
        <n v="10.45"/>
        <n v="46.63"/>
        <n v="95.14"/>
        <n v="96.25"/>
        <n v="25.38"/>
        <n v="13.34"/>
        <n v="93.1"/>
        <n v="50.47"/>
        <n v="17.19"/>
        <n v="93.8"/>
        <n v="16.89"/>
        <n v="62.49"/>
        <n v="65.7"/>
        <n v="33.26"/>
        <n v="86.84"/>
        <n v="47.71"/>
        <n v="82.28"/>
        <n v="13.55"/>
        <n v="85.07"/>
        <n v="57.24"/>
        <n v="52.51"/>
        <n v="36.16"/>
        <n v="82.5"/>
        <n v="67.28"/>
        <n v="59.39"/>
        <n v="92.45"/>
        <n v="91.65"/>
        <n v="33.36"/>
        <n v="80.56"/>
        <n v="32.59"/>
        <n v="93.64"/>
        <n v="65.6"/>
        <n v="20.0"/>
        <n v="13.5"/>
        <n v="92.37"/>
        <n v="93.2"/>
        <n v="36.41"/>
        <n v="90.22"/>
        <n v="5.65"/>
        <n v="27.45"/>
        <n v="39.92"/>
        <n v="76.95"/>
        <n v="10.87"/>
        <n v="51.44"/>
        <n v="7.07"/>
        <n v="10.72"/>
        <n v="87.61"/>
        <n v="42.34"/>
        <n v="77.78"/>
        <n v="59.73"/>
        <n v="95.11"/>
        <n v="44.55"/>
        <n v="81.55"/>
        <n v="12.51"/>
        <n v="8.76"/>
        <n v="33.8"/>
        <n v="35.55"/>
        <n v="14.37"/>
        <n v="60.48"/>
        <n v="37.07"/>
        <n v="22.48"/>
        <n v="11.46"/>
        <n v="44.08"/>
        <n v="15.17"/>
        <n v="40.44"/>
        <n v="77.16"/>
        <n v="66.27"/>
        <n v="58.84"/>
        <n v="96.34"/>
        <n v="41.47"/>
        <n v="37.36"/>
        <n v="46.03"/>
        <n v="79.47"/>
        <n v="14.71"/>
        <n v="13.84"/>
        <n v="30.55"/>
        <n v="28.91"/>
        <n v="66.85"/>
        <n v="35.32"/>
        <n v="61.26"/>
        <n v="11.57"/>
        <n v="12.03"/>
        <n v="61.41"/>
        <n v="66.44"/>
        <n v="69.56"/>
        <n v="38.09"/>
        <n v="35.3"/>
        <n v="54.02"/>
        <n v="42.58"/>
        <n v="10.94"/>
        <n v="96.76"/>
        <n v="82.31"/>
        <n v="70.88"/>
        <n v="66.3"/>
        <n v="95.42"/>
        <n v="84.79"/>
        <n v="20.98"/>
        <n v="99.13"/>
        <n v="47.72"/>
        <n v="45.68"/>
        <n v="32.49"/>
        <n v="87.28"/>
        <n v="44.35"/>
        <n v="48.2"/>
        <n v="42.78"/>
        <n v="37.66"/>
        <n v="48.37"/>
        <n v="12.83"/>
        <n v="98.87"/>
        <n v="33.43"/>
        <n v="64.67"/>
        <n v="74.35"/>
        <n v="62.72"/>
        <n v="90.3"/>
        <n v="17.54"/>
        <n v="55.97"/>
        <n v="84.28"/>
        <n v="48.07"/>
        <n v="20.56"/>
        <n v="30.53"/>
        <n v="12.32"/>
        <n v="89.96"/>
        <n v="30.77"/>
        <n v="95.64"/>
        <n v="58.56"/>
        <n v="80.62"/>
        <n v="85.66"/>
        <n v="65.54"/>
        <n v="81.08"/>
        <n v="49.28"/>
        <n v="13.59"/>
        <n v="42.64"/>
        <n v="57.26"/>
        <n v="17.42"/>
        <n v="90.74"/>
        <n v="92.79"/>
        <n v="31.59"/>
        <n v="13.33"/>
        <n v="39.12"/>
        <n v="90.1"/>
        <n v="30.32"/>
        <n v="81.59"/>
        <n v="97.19"/>
        <n v="18.46"/>
        <n v="19.96"/>
        <n v="40.95"/>
        <n v="20.95"/>
        <n v="11.44"/>
        <n v="40.98"/>
        <n v="33.02"/>
        <n v="97.57"/>
        <n v="42.33"/>
        <n v="30.18"/>
        <n v="26.49"/>
        <n v="33.39"/>
        <n v="95.16"/>
        <n v="84.24"/>
        <n v="54.37"/>
        <n v="60.35"/>
        <n v="59.34"/>
        <n v="70.6"/>
        <n v="31.63"/>
        <n v="83.45"/>
        <n v="51.02"/>
        <n v="59.02"/>
        <n v="31.03"/>
        <n v="69.81"/>
        <n v="72.71"/>
        <n v="64.24"/>
        <n v="36.95"/>
        <n v="10.39"/>
        <n v="41.89"/>
        <n v="53.19"/>
        <n v="91.7"/>
        <n v="49.06"/>
        <n v="87.41"/>
        <n v="89.82"/>
        <n v="65.28"/>
        <n v="17.29"/>
        <n v="34.65"/>
        <n v="54.43"/>
        <n v="82.14"/>
        <n v="80.25"/>
        <n v="5.88"/>
        <n v="73.28"/>
        <n v="39.0"/>
        <n v="48.39"/>
        <n v="45.47"/>
        <n v="64.07"/>
        <n v="50.43"/>
        <n v="81.22"/>
        <n v="89.32"/>
        <n v="63.73"/>
        <n v="53.03"/>
        <n v="26.16"/>
        <n v="16.28"/>
        <n v="96.5"/>
        <n v="85.21"/>
        <n v="5.21"/>
        <n v="75.54"/>
        <n v="73.09"/>
        <n v="52.9"/>
        <n v="82.45"/>
        <n v="77.43"/>
        <n v="53.67"/>
        <n v="37.8"/>
        <n v="94.55"/>
        <n v="79.51"/>
        <n v="80.89"/>
        <n v="75.65"/>
        <n v="32.95"/>
        <n v="30.1"/>
        <n v="78.5"/>
        <n v="20.14"/>
        <n v="63.74"/>
        <n v="91.58"/>
        <n v="20.9"/>
        <n v="88.47"/>
        <n v="21.91"/>
        <n v="35.06"/>
        <n v="7.93"/>
        <n v="96.71"/>
        <n v="57.01"/>
        <n v="18.53"/>
        <n v="99.46"/>
        <n v="95.4"/>
        <n v="63.55"/>
        <n v="79.64"/>
        <n v="51.26"/>
        <n v="12.26"/>
        <n v="56.63"/>
        <n v="42.69"/>
        <n v="95.13"/>
        <n v="27.23"/>
        <n v="71.85"/>
        <n v="84.37"/>
        <n v="73.14"/>
        <n v="66.49"/>
        <n v="83.02"/>
        <n v="80.49"/>
        <n v="15.31"/>
        <n v="8.71"/>
        <n v="9.13"/>
        <n v="27.09"/>
        <n v="59.91"/>
        <n v="60.61"/>
        <n v="50.83"/>
        <n v="67.63"/>
        <n v="63.33"/>
        <n v="94.84"/>
        <n v="42.95"/>
        <n v="60.38"/>
        <n v="15.11"/>
        <n v="58.5"/>
        <n v="65.2"/>
        <n v="32.29"/>
        <n v="59.5"/>
        <n v="24.64"/>
        <n v="63.31"/>
        <n v="53.56"/>
        <n v="49.78"/>
        <n v="22.09"/>
        <n v="81.0"/>
        <n v="58.94"/>
        <n v="39.29"/>
        <n v="35.88"/>
        <n v="20.92"/>
        <n v="67.04"/>
        <n v="7.19"/>
        <n v="94.0"/>
        <n v="67.21"/>
        <n v="8.34"/>
        <n v="56.23"/>
        <n v="13.51"/>
        <n v="5.79"/>
        <n v="88.81"/>
        <n v="27.76"/>
        <n v="32.51"/>
        <n v="82.64"/>
        <n v="13.93"/>
        <n v="16.6"/>
        <n v="6.43"/>
        <n v="78.23"/>
        <n v="55.95"/>
        <n v="51.56"/>
        <n v="82.84"/>
        <n v="63.92"/>
        <n v="31.9"/>
        <n v="73.2"/>
        <n v="89.59"/>
        <n v="25.51"/>
        <n v="58.05"/>
        <n v="22.14"/>
        <n v="99.7"/>
        <n v="75.73"/>
        <n v="18.15"/>
        <n v="12.33"/>
        <n v="41.25"/>
        <n v="93.22"/>
        <n v="9.8"/>
        <n v="17.56"/>
        <n v="71.3"/>
        <n v="45.86"/>
        <n v="78.12"/>
        <n v="23.97"/>
        <n v="87.53"/>
        <n v="56.11"/>
        <n v="55.05"/>
        <n v="11.33"/>
        <n v="97.78"/>
      </sharedItems>
    </cacheField>
    <cacheField name="payment_method" numFmtId="0">
      <sharedItems>
        <s v="card"/>
        <s v="undefined"/>
        <s v="qr"/>
        <s v="cash"/>
      </sharedItems>
    </cacheField>
    <cacheField name="status" numFmtId="0">
      <sharedItems>
        <s v="refunded"/>
        <s v="completed"/>
        <s v="cancelled"/>
      </sharedItems>
    </cacheField>
    <cacheField name="customer_id" numFmtId="0">
      <sharedItems containsSemiMixedTypes="0" containsString="0" containsNumber="1" containsInteger="1">
        <n v="1054.0"/>
        <n v="1057.0"/>
        <n v="1011.0"/>
        <n v="1070.0"/>
        <n v="1010.0"/>
        <n v="1085.0"/>
        <n v="1041.0"/>
        <n v="1083.0"/>
        <n v="1051.0"/>
        <n v="1068.0"/>
        <n v="1097.0"/>
        <n v="1069.0"/>
        <n v="1031.0"/>
        <n v="1042.0"/>
        <n v="1100.0"/>
        <n v="1035.0"/>
        <n v="1021.0"/>
        <n v="1040.0"/>
        <n v="1030.0"/>
        <n v="1026.0"/>
        <n v="1058.0"/>
        <n v="1047.0"/>
        <n v="1033.0"/>
        <n v="1062.0"/>
        <n v="1081.0"/>
        <n v="1004.0"/>
        <n v="1022.0"/>
        <n v="1003.0"/>
        <n v="1093.0"/>
        <n v="1066.0"/>
        <n v="1015.0"/>
        <n v="1055.0"/>
        <n v="1018.0"/>
        <n v="1071.0"/>
        <n v="1078.0"/>
        <n v="1048.0"/>
        <n v="1079.0"/>
        <n v="1002.0"/>
        <n v="1077.0"/>
        <n v="1086.0"/>
        <n v="1076.0"/>
        <n v="1053.0"/>
        <n v="1096.0"/>
        <n v="1043.0"/>
        <n v="1060.0"/>
        <n v="1024.0"/>
        <n v="1037.0"/>
        <n v="1032.0"/>
        <n v="1072.0"/>
        <n v="1056.0"/>
        <n v="1027.0"/>
        <n v="1014.0"/>
        <n v="1023.0"/>
        <n v="1052.0"/>
        <n v="1000.0"/>
        <n v="1020.0"/>
        <n v="1019.0"/>
        <n v="1036.0"/>
        <n v="1012.0"/>
        <n v="1067.0"/>
        <n v="1074.0"/>
        <n v="1013.0"/>
        <n v="1087.0"/>
        <n v="1092.0"/>
        <n v="1028.0"/>
        <n v="1063.0"/>
        <n v="1095.0"/>
        <n v="1016.0"/>
        <n v="1064.0"/>
        <n v="1007.0"/>
        <n v="1006.0"/>
        <n v="1084.0"/>
        <n v="1039.0"/>
        <n v="1098.0"/>
        <n v="1073.0"/>
        <n v="1089.0"/>
        <n v="1017.0"/>
        <n v="1034.0"/>
        <n v="1099.0"/>
        <n v="1094.0"/>
        <n v="1061.0"/>
        <n v="1088.0"/>
        <n v="1065.0"/>
        <n v="1044.0"/>
        <n v="1050.0"/>
        <n v="1045.0"/>
        <n v="1090.0"/>
        <n v="1038.0"/>
        <n v="1059.0"/>
        <n v="1082.0"/>
        <n v="1009.0"/>
        <n v="1049.0"/>
        <n v="1001.0"/>
        <n v="1080.0"/>
        <n v="1075.0"/>
        <n v="1091.0"/>
        <n v="1046.0"/>
        <n v="1025.0"/>
        <n v="1008.0"/>
        <n v="1005.0"/>
        <n v="1029.0"/>
      </sharedItems>
    </cacheField>
    <cacheField name="correct_country" numFmtId="0">
      <sharedItems>
        <s v="Czech Republic"/>
        <s v="Ukraine"/>
        <s v="Germany"/>
        <s v="Poland"/>
      </sharedItems>
    </cacheField>
    <cacheField name="correct_city" numFmtId="0">
      <sharedItems>
        <s v="Prague"/>
        <s v="Kyiv"/>
        <s v="Berlin"/>
        <s v="Warsaw"/>
      </sharedItems>
    </cacheField>
    <cacheField name="is_city_valid" numFmtId="0">
      <sharedItems>
        <b v="1"/>
        <b v="0"/>
      </sharedItems>
    </cacheField>
    <cacheField name="Days from last order" formula="MAX(#REF!) - MAX(order_date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103" sheet="RFM_analysis"/>
  </cacheSource>
  <cacheFields>
    <cacheField name="customer_id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</sharedItems>
    </cacheField>
    <cacheField name="last order" numFmtId="164">
      <sharedItems containsSemiMixedTypes="0" containsDate="1" containsString="0">
        <d v="2025-04-23T00:00:00Z"/>
        <d v="2025-02-27T00:00:00Z"/>
        <d v="2025-04-06T00:00:00Z"/>
        <d v="2025-04-19T00:00:00Z"/>
        <d v="2025-04-18T00:00:00Z"/>
        <d v="2025-03-20T00:00:00Z"/>
        <d v="2025-05-01T00:00:00Z"/>
        <d v="2025-04-24T00:00:00Z"/>
        <d v="2025-04-10T00:00:00Z"/>
        <d v="2025-04-25T00:00:00Z"/>
        <d v="2025-04-15T00:00:00Z"/>
        <d v="2025-03-22T00:00:00Z"/>
        <d v="2025-03-13T00:00:00Z"/>
        <d v="2025-04-11T00:00:00Z"/>
        <d v="2025-03-26T00:00:00Z"/>
        <d v="2025-04-29T00:00:00Z"/>
        <d v="2025-03-15T00:00:00Z"/>
        <d v="2025-04-17T00:00:00Z"/>
        <d v="2025-03-21T00:00:00Z"/>
        <d v="2025-04-03T00:00:00Z"/>
        <d v="2025-04-12T00:00:00Z"/>
        <d v="2025-04-22T00:00:00Z"/>
        <d v="2025-03-29T00:00:00Z"/>
        <d v="2025-01-30T00:00:00Z"/>
        <d v="2025-04-13T00:00:00Z"/>
        <d v="2025-04-20T00:00:00Z"/>
        <d v="2025-04-04T00:00:00Z"/>
        <d v="2025-02-19T00:00:00Z"/>
        <d v="2025-04-21T00:00:00Z"/>
        <d v="2025-04-28T00:00:00Z"/>
        <d v="2025-03-12T00:00:00Z"/>
        <d v="2025-03-08T00:00:00Z"/>
        <d v="2025-04-14T00:00:00Z"/>
        <d v="2025-04-05T00:00:00Z"/>
        <d v="2025-04-02T00:00:00Z"/>
        <d v="2025-04-27T00:00:00Z"/>
        <d v="2025-03-05T00:00:00Z"/>
        <d v="2025-03-23T00:00:00Z"/>
        <d v="2025-04-09T00:00:00Z"/>
        <d v="2025-04-30T00:00:00Z"/>
        <d v="2025-03-06T00:00:00Z"/>
        <d v="2025-04-07T00:00:00Z"/>
        <d v="2025-04-01T00:00:00Z"/>
        <d v="2025-03-24T00:00:00Z"/>
        <d v="2025-03-18T00:00:00Z"/>
        <d v="2025-03-28T00:00:00Z"/>
        <d v="2025-02-07T00:00:00Z"/>
        <d v="2025-03-14T00:00:00Z"/>
        <d v="2025-04-16T00:00:00Z"/>
      </sharedItems>
    </cacheField>
    <cacheField name="Days from last order" numFmtId="0">
      <sharedItems containsSemiMixedTypes="0" containsString="0" containsNumber="1" containsInteger="1">
        <n v="8.0"/>
        <n v="63.0"/>
        <n v="25.0"/>
        <n v="12.0"/>
        <n v="13.0"/>
        <n v="42.0"/>
        <n v="0.0"/>
        <n v="7.0"/>
        <n v="21.0"/>
        <n v="6.0"/>
        <n v="16.0"/>
        <n v="40.0"/>
        <n v="49.0"/>
        <n v="20.0"/>
        <n v="36.0"/>
        <n v="2.0"/>
        <n v="47.0"/>
        <n v="14.0"/>
        <n v="41.0"/>
        <n v="28.0"/>
        <n v="19.0"/>
        <n v="9.0"/>
        <n v="33.0"/>
        <n v="91.0"/>
        <n v="18.0"/>
        <n v="11.0"/>
        <n v="27.0"/>
        <n v="71.0"/>
        <n v="10.0"/>
        <n v="3.0"/>
        <n v="50.0"/>
        <n v="54.0"/>
        <n v="17.0"/>
        <n v="26.0"/>
        <n v="29.0"/>
        <n v="4.0"/>
        <n v="57.0"/>
        <n v="39.0"/>
        <n v="22.0"/>
        <n v="1.0"/>
        <n v="56.0"/>
        <n v="24.0"/>
        <n v="30.0"/>
        <n v="38.0"/>
        <n v="44.0"/>
        <n v="34.0"/>
        <n v="83.0"/>
        <n v="48.0"/>
        <n v="15.0"/>
      </sharedItems>
    </cacheField>
    <cacheField name="Count of orders" numFmtId="3">
      <sharedItems containsSemiMixedTypes="0" containsString="0" containsNumber="1" containsInteger="1">
        <n v="3.0"/>
        <n v="2.0"/>
        <n v="4.0"/>
        <n v="5.0"/>
        <n v="7.0"/>
        <n v="1.0"/>
        <n v="6.0"/>
        <n v="8.0"/>
        <n v="9.0"/>
      </sharedItems>
    </cacheField>
    <cacheField name="Revenue" numFmtId="165">
      <sharedItems containsSemiMixedTypes="0" containsString="0" containsNumber="1">
        <n v="158.76"/>
        <n v="94.84"/>
        <n v="220.38"/>
        <n v="240.57"/>
        <n v="349.87"/>
        <n v="73.09"/>
        <n v="394.79"/>
        <n v="356.44"/>
        <n v="174.14"/>
        <n v="202.17"/>
        <n v="455.44000000000005"/>
        <n v="290.89"/>
        <n v="203.59"/>
        <n v="342.11"/>
        <n v="153.12"/>
        <n v="192.64000000000001"/>
        <n v="105.9"/>
        <n v="205.28000000000003"/>
        <n v="215.32000000000002"/>
        <n v="136.97"/>
        <n v="142.58"/>
        <n v="319.39"/>
        <n v="285.46999999999997"/>
        <n v="332.72"/>
        <n v="475.5"/>
        <n v="59.02"/>
        <n v="508.21000000000004"/>
        <n v="116.68"/>
        <n v="284.54"/>
        <n v="140.35"/>
        <n v="138.13"/>
        <n v="220.07"/>
        <n v="405.59000000000003"/>
        <n v="165.37"/>
        <n v="16.84"/>
        <n v="112.9"/>
        <n v="332.96"/>
        <n v="151.93"/>
        <n v="274.89"/>
        <n v="261.77"/>
        <n v="263.7"/>
        <n v="417.73999999999995"/>
        <n v="98.63"/>
        <n v="302.49"/>
        <n v="213.13"/>
        <n v="91.65"/>
        <n v="137.65"/>
        <n v="247.91"/>
        <n v="373.38999999999993"/>
        <n v="343.79"/>
        <n v="269.15"/>
        <n v="91.7"/>
        <n v="309.94"/>
        <n v="156.19"/>
        <n v="172.77999999999997"/>
        <n v="31.900000000000002"/>
        <n v="233.94"/>
        <n v="473.53"/>
        <n v="206.63"/>
        <n v="83.94"/>
        <n v="300.15999999999997"/>
        <n v="137.84"/>
        <n v="333.83000000000004"/>
        <n v="227.42000000000002"/>
        <n v="115.98"/>
        <n v="310.39"/>
        <n v="211.26999999999998"/>
        <n v="93.50999999999999"/>
        <n v="354.76"/>
        <n v="153.13"/>
        <n v="515.55"/>
        <n v="396.95"/>
        <n v="249.88"/>
        <n v="252.05"/>
        <n v="175.62"/>
        <n v="233.38"/>
        <n v="191.46"/>
        <n v="71.45"/>
        <n v="456.93999999999994"/>
        <n v="223.48000000000002"/>
        <n v="49.83"/>
        <n v="94.44"/>
        <n v="258.61"/>
        <n v="238.06"/>
        <n v="257.02"/>
        <n v="369.28999999999996"/>
        <n v="259.66"/>
        <n v="304.62"/>
        <n v="149.04"/>
        <n v="291.37"/>
        <n v="110.55"/>
        <n v="87.28"/>
        <n v="204.1"/>
        <n v="305.17999999999995"/>
        <n v="185.04000000000002"/>
        <n v="286.71999999999997"/>
        <n v="204.74"/>
        <n v="426.96"/>
        <n v="431.87999999999994"/>
        <n v="264.87"/>
        <n v="311.89"/>
      </sharedItems>
    </cacheField>
    <cacheField name="R_score" numFmtId="0">
      <sharedItems containsSemiMixedTypes="0" containsString="0" containsNumber="1" containsInteger="1">
        <n v="4.0"/>
        <n v="1.0"/>
        <n v="2.0"/>
        <n v="5.0"/>
        <n v="3.0"/>
      </sharedItems>
    </cacheField>
    <cacheField name="F_score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M_Score" numFmtId="0">
      <sharedItems containsSemiMixedTypes="0" containsString="0" containsNumber="1" containsInteger="1">
        <n v="2.0"/>
        <n v="1.0"/>
        <n v="3.0"/>
        <n v="5.0"/>
        <n v="4.0"/>
      </sharedItems>
    </cacheField>
    <cacheField name="RFM_Score" numFmtId="0">
      <sharedItems containsSemiMixedTypes="0" containsString="0" containsNumber="1" containsInteger="1">
        <n v="8.0"/>
        <n v="3.0"/>
        <n v="11.0"/>
        <n v="14.0"/>
        <n v="15.0"/>
        <n v="7.0"/>
        <n v="10.0"/>
        <n v="13.0"/>
        <n v="5.0"/>
        <n v="4.0"/>
        <n v="9.0"/>
        <n v="12.0"/>
        <n v="6.0"/>
      </sharedItems>
    </cacheField>
    <cacheField name="RFM_Category" numFmtId="0">
      <sharedItems>
        <s v="3. Average"/>
        <s v="5. At Risk"/>
        <s v="2. Potentially Loyal"/>
        <s v="1. Loyal"/>
        <s v="4. Need Attention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88"/>
    <col customWidth="1" min="3" max="3" width="16.0"/>
    <col customWidth="1" min="9" max="9" width="12.38"/>
    <col customWidth="1" min="10" max="10" width="15.25"/>
    <col customWidth="1" min="11" max="12" width="18.38"/>
  </cols>
  <sheetData>
    <row r="1">
      <c r="B1" s="1"/>
      <c r="D1" s="2"/>
      <c r="E1" s="3"/>
    </row>
    <row r="2">
      <c r="A2" s="4" t="s">
        <v>0</v>
      </c>
      <c r="B2" s="1" t="s">
        <v>1</v>
      </c>
      <c r="C2" s="4" t="s">
        <v>2</v>
      </c>
      <c r="D2" s="2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9</v>
      </c>
    </row>
    <row r="3">
      <c r="A3" s="4">
        <v>1000.0</v>
      </c>
      <c r="B3" s="1">
        <v>45770.0</v>
      </c>
      <c r="C3" s="4">
        <v>8.0</v>
      </c>
      <c r="D3" s="2">
        <v>3.0</v>
      </c>
      <c r="E3" s="3">
        <v>158.76</v>
      </c>
      <c r="F3" s="4">
        <f t="shared" ref="F3:F103" si="2">IFS(C3&lt;_xlfn.PERCENTILE.INC(C$3:C1000,0.2),5,C3&lt;_xlfn.PERCENTILE.INC(C$3:C1000,0.4),4,C3&lt;_xlfn.PERCENTILE.INC(C$3:C1000,0.6),3,C3&lt;_xlfn.PERCENTILE.INC(C$3:C1000,0.8),2,TRUE,1)</f>
        <v>4</v>
      </c>
      <c r="G3" s="4">
        <f t="shared" ref="G3:H3" si="1">IFS(D3&lt;_xlfn.PERCENTILE.INC(D$3:D1000,0.2),1,D3&lt;_xlfn.PERCENTILE.INC(D$3:D1000,0.4),2,D3&lt;_xlfn.PERCENTILE.INC(D$3:D1000,0.6),3,D3&lt;_xlfn.PERCENTILE.INC(D$3:D1000,0.8),4,TRUE,5)</f>
        <v>2</v>
      </c>
      <c r="H3" s="4">
        <f t="shared" si="1"/>
        <v>2</v>
      </c>
      <c r="I3" s="4">
        <f t="shared" ref="I3:I103" si="4">F3+G3+H3</f>
        <v>8</v>
      </c>
      <c r="J3" s="7" t="str">
        <f t="shared" ref="J3:J103" si="5">IFS(I3&lt;4,"5. At Risk",I3&lt;7,"4. Need Attention",I3&lt;10,"3. Average",I3&lt;13,"2. Potentially Loyal",TRUE,"1. Loyal")</f>
        <v>3. Average</v>
      </c>
      <c r="L3" s="8" t="s">
        <v>10</v>
      </c>
    </row>
    <row r="4">
      <c r="A4" s="4">
        <v>1001.0</v>
      </c>
      <c r="B4" s="1">
        <v>45715.0</v>
      </c>
      <c r="C4" s="4">
        <v>63.0</v>
      </c>
      <c r="D4" s="2">
        <v>2.0</v>
      </c>
      <c r="E4" s="3">
        <v>94.84</v>
      </c>
      <c r="F4" s="4">
        <f t="shared" si="2"/>
        <v>1</v>
      </c>
      <c r="G4" s="4">
        <f t="shared" ref="G4:H4" si="3">IFS(D4&lt;_xlfn.PERCENTILE.INC(D$3:D1000,0.2),1,D4&lt;_xlfn.PERCENTILE.INC(D$3:D1000,0.4),2,D4&lt;_xlfn.PERCENTILE.INC(D$3:D1000,0.6),3,D4&lt;_xlfn.PERCENTILE.INC(D$3:D1000,0.8),4,TRUE,5)</f>
        <v>1</v>
      </c>
      <c r="H4" s="4">
        <f t="shared" si="3"/>
        <v>1</v>
      </c>
      <c r="I4" s="4">
        <f t="shared" si="4"/>
        <v>3</v>
      </c>
      <c r="J4" s="7" t="str">
        <f t="shared" si="5"/>
        <v>5. At Risk</v>
      </c>
    </row>
    <row r="5">
      <c r="A5" s="4">
        <v>1002.0</v>
      </c>
      <c r="B5" s="1">
        <v>45753.0</v>
      </c>
      <c r="C5" s="4">
        <v>25.0</v>
      </c>
      <c r="D5" s="2">
        <v>4.0</v>
      </c>
      <c r="E5" s="3">
        <v>220.38</v>
      </c>
      <c r="F5" s="4">
        <f t="shared" si="2"/>
        <v>2</v>
      </c>
      <c r="G5" s="4">
        <f t="shared" ref="G5:H5" si="6">IFS(D5&lt;_xlfn.PERCENTILE.INC(D$3:D1000,0.2),1,D5&lt;_xlfn.PERCENTILE.INC(D$3:D1000,0.4),2,D5&lt;_xlfn.PERCENTILE.INC(D$3:D1000,0.6),3,D5&lt;_xlfn.PERCENTILE.INC(D$3:D1000,0.8),4,TRUE,5)</f>
        <v>3</v>
      </c>
      <c r="H5" s="4">
        <f t="shared" si="6"/>
        <v>3</v>
      </c>
      <c r="I5" s="4">
        <f t="shared" si="4"/>
        <v>8</v>
      </c>
      <c r="J5" s="7" t="str">
        <f t="shared" si="5"/>
        <v>3. Average</v>
      </c>
    </row>
    <row r="6">
      <c r="A6" s="4">
        <v>1003.0</v>
      </c>
      <c r="B6" s="1">
        <v>45766.0</v>
      </c>
      <c r="C6" s="4">
        <v>12.0</v>
      </c>
      <c r="D6" s="2">
        <v>5.0</v>
      </c>
      <c r="E6" s="3">
        <v>240.57</v>
      </c>
      <c r="F6" s="4">
        <f t="shared" si="2"/>
        <v>4</v>
      </c>
      <c r="G6" s="4">
        <f t="shared" ref="G6:H6" si="7">IFS(D6&lt;_xlfn.PERCENTILE.INC(D$3:D1000,0.2),1,D6&lt;_xlfn.PERCENTILE.INC(D$3:D1000,0.4),2,D6&lt;_xlfn.PERCENTILE.INC(D$3:D1000,0.6),3,D6&lt;_xlfn.PERCENTILE.INC(D$3:D1000,0.8),4,TRUE,5)</f>
        <v>4</v>
      </c>
      <c r="H6" s="4">
        <f t="shared" si="7"/>
        <v>3</v>
      </c>
      <c r="I6" s="4">
        <f t="shared" si="4"/>
        <v>11</v>
      </c>
      <c r="J6" s="7" t="str">
        <f t="shared" si="5"/>
        <v>2. Potentially Loyal</v>
      </c>
    </row>
    <row r="7">
      <c r="A7" s="4">
        <v>1004.0</v>
      </c>
      <c r="B7" s="1">
        <v>45765.0</v>
      </c>
      <c r="C7" s="4">
        <v>13.0</v>
      </c>
      <c r="D7" s="2">
        <v>7.0</v>
      </c>
      <c r="E7" s="3">
        <v>349.87</v>
      </c>
      <c r="F7" s="4">
        <f t="shared" si="2"/>
        <v>4</v>
      </c>
      <c r="G7" s="4">
        <f t="shared" ref="G7:H7" si="8">IFS(D7&lt;_xlfn.PERCENTILE.INC(D$3:D1000,0.2),1,D7&lt;_xlfn.PERCENTILE.INC(D$3:D1000,0.4),2,D7&lt;_xlfn.PERCENTILE.INC(D$3:D1000,0.6),3,D7&lt;_xlfn.PERCENTILE.INC(D$3:D1000,0.8),4,TRUE,5)</f>
        <v>5</v>
      </c>
      <c r="H7" s="4">
        <f t="shared" si="8"/>
        <v>5</v>
      </c>
      <c r="I7" s="4">
        <f t="shared" si="4"/>
        <v>14</v>
      </c>
      <c r="J7" s="7" t="str">
        <f t="shared" si="5"/>
        <v>1. Loyal</v>
      </c>
    </row>
    <row r="8">
      <c r="A8" s="4">
        <v>1005.0</v>
      </c>
      <c r="B8" s="1">
        <v>45736.0</v>
      </c>
      <c r="C8" s="4">
        <v>42.0</v>
      </c>
      <c r="D8" s="2">
        <v>1.0</v>
      </c>
      <c r="E8" s="3">
        <v>73.09</v>
      </c>
      <c r="F8" s="4">
        <f t="shared" si="2"/>
        <v>1</v>
      </c>
      <c r="G8" s="4">
        <f t="shared" ref="G8:H8" si="9">IFS(D8&lt;_xlfn.PERCENTILE.INC(D$3:D1000,0.2),1,D8&lt;_xlfn.PERCENTILE.INC(D$3:D1000,0.4),2,D8&lt;_xlfn.PERCENTILE.INC(D$3:D1000,0.6),3,D8&lt;_xlfn.PERCENTILE.INC(D$3:D1000,0.8),4,TRUE,5)</f>
        <v>1</v>
      </c>
      <c r="H8" s="4">
        <f t="shared" si="9"/>
        <v>1</v>
      </c>
      <c r="I8" s="4">
        <f t="shared" si="4"/>
        <v>3</v>
      </c>
      <c r="J8" s="7" t="str">
        <f t="shared" si="5"/>
        <v>5. At Risk</v>
      </c>
    </row>
    <row r="9">
      <c r="A9" s="4">
        <v>1006.0</v>
      </c>
      <c r="B9" s="1">
        <v>45778.0</v>
      </c>
      <c r="C9" s="4">
        <v>0.0</v>
      </c>
      <c r="D9" s="2">
        <v>6.0</v>
      </c>
      <c r="E9" s="3">
        <v>394.79</v>
      </c>
      <c r="F9" s="4">
        <f t="shared" si="2"/>
        <v>5</v>
      </c>
      <c r="G9" s="4">
        <f t="shared" ref="G9:H9" si="10">IFS(D9&lt;_xlfn.PERCENTILE.INC(D$3:D1000,0.2),1,D9&lt;_xlfn.PERCENTILE.INC(D$3:D1000,0.4),2,D9&lt;_xlfn.PERCENTILE.INC(D$3:D1000,0.6),3,D9&lt;_xlfn.PERCENTILE.INC(D$3:D1000,0.8),4,TRUE,5)</f>
        <v>5</v>
      </c>
      <c r="H9" s="4">
        <f t="shared" si="10"/>
        <v>5</v>
      </c>
      <c r="I9" s="4">
        <f t="shared" si="4"/>
        <v>15</v>
      </c>
      <c r="J9" s="7" t="str">
        <f t="shared" si="5"/>
        <v>1. Loyal</v>
      </c>
    </row>
    <row r="10">
      <c r="A10" s="4">
        <v>1007.0</v>
      </c>
      <c r="B10" s="1">
        <v>45771.0</v>
      </c>
      <c r="C10" s="4">
        <v>7.0</v>
      </c>
      <c r="D10" s="2">
        <v>8.0</v>
      </c>
      <c r="E10" s="3">
        <v>356.44</v>
      </c>
      <c r="F10" s="4">
        <f t="shared" si="2"/>
        <v>4</v>
      </c>
      <c r="G10" s="4">
        <f t="shared" ref="G10:H10" si="11">IFS(D10&lt;_xlfn.PERCENTILE.INC(D$3:D1000,0.2),1,D10&lt;_xlfn.PERCENTILE.INC(D$3:D1000,0.4),2,D10&lt;_xlfn.PERCENTILE.INC(D$3:D1000,0.6),3,D10&lt;_xlfn.PERCENTILE.INC(D$3:D1000,0.8),4,TRUE,5)</f>
        <v>5</v>
      </c>
      <c r="H10" s="4">
        <f t="shared" si="11"/>
        <v>5</v>
      </c>
      <c r="I10" s="4">
        <f t="shared" si="4"/>
        <v>14</v>
      </c>
      <c r="J10" s="7" t="str">
        <f t="shared" si="5"/>
        <v>1. Loyal</v>
      </c>
      <c r="L10" s="3" t="s">
        <v>9</v>
      </c>
      <c r="M10" s="4" t="s">
        <v>11</v>
      </c>
    </row>
    <row r="11">
      <c r="A11" s="4">
        <v>1008.0</v>
      </c>
      <c r="B11" s="1">
        <v>45757.0</v>
      </c>
      <c r="C11" s="4">
        <v>21.0</v>
      </c>
      <c r="D11" s="2">
        <v>3.0</v>
      </c>
      <c r="E11" s="3">
        <v>174.14</v>
      </c>
      <c r="F11" s="4">
        <f t="shared" si="2"/>
        <v>3</v>
      </c>
      <c r="G11" s="4">
        <f t="shared" ref="G11:H11" si="12">IFS(D11&lt;_xlfn.PERCENTILE.INC(D$3:D1000,0.2),1,D11&lt;_xlfn.PERCENTILE.INC(D$3:D1000,0.4),2,D11&lt;_xlfn.PERCENTILE.INC(D$3:D1000,0.6),3,D11&lt;_xlfn.PERCENTILE.INC(D$3:D1000,0.8),4,TRUE,5)</f>
        <v>2</v>
      </c>
      <c r="H11" s="4">
        <f t="shared" si="12"/>
        <v>2</v>
      </c>
      <c r="I11" s="4">
        <f t="shared" si="4"/>
        <v>7</v>
      </c>
      <c r="J11" s="7" t="str">
        <f t="shared" si="5"/>
        <v>3. Average</v>
      </c>
      <c r="L11" s="4" t="s">
        <v>12</v>
      </c>
      <c r="M11" s="4">
        <v>23.0</v>
      </c>
    </row>
    <row r="12">
      <c r="A12" s="4">
        <v>1009.0</v>
      </c>
      <c r="B12" s="1">
        <v>45772.0</v>
      </c>
      <c r="C12" s="4">
        <v>6.0</v>
      </c>
      <c r="D12" s="2">
        <v>4.0</v>
      </c>
      <c r="E12" s="3">
        <v>202.17</v>
      </c>
      <c r="F12" s="4">
        <f t="shared" si="2"/>
        <v>5</v>
      </c>
      <c r="G12" s="4">
        <f t="shared" ref="G12:H12" si="13">IFS(D12&lt;_xlfn.PERCENTILE.INC(D$3:D1000,0.2),1,D12&lt;_xlfn.PERCENTILE.INC(D$3:D1000,0.4),2,D12&lt;_xlfn.PERCENTILE.INC(D$3:D1000,0.6),3,D12&lt;_xlfn.PERCENTILE.INC(D$3:D1000,0.8),4,TRUE,5)</f>
        <v>3</v>
      </c>
      <c r="H12" s="4">
        <f t="shared" si="13"/>
        <v>2</v>
      </c>
      <c r="I12" s="4">
        <f t="shared" si="4"/>
        <v>10</v>
      </c>
      <c r="J12" s="7" t="str">
        <f t="shared" si="5"/>
        <v>2. Potentially Loyal</v>
      </c>
      <c r="L12" s="4" t="s">
        <v>13</v>
      </c>
      <c r="M12" s="4">
        <v>29.0</v>
      </c>
    </row>
    <row r="13">
      <c r="A13" s="4">
        <v>1010.0</v>
      </c>
      <c r="B13" s="1">
        <v>45762.0</v>
      </c>
      <c r="C13" s="4">
        <v>16.0</v>
      </c>
      <c r="D13" s="2">
        <v>8.0</v>
      </c>
      <c r="E13" s="3">
        <v>455.44000000000005</v>
      </c>
      <c r="F13" s="4">
        <f t="shared" si="2"/>
        <v>3</v>
      </c>
      <c r="G13" s="4">
        <f t="shared" ref="G13:H13" si="14">IFS(D13&lt;_xlfn.PERCENTILE.INC(D$3:D1000,0.2),1,D13&lt;_xlfn.PERCENTILE.INC(D$3:D1000,0.4),2,D13&lt;_xlfn.PERCENTILE.INC(D$3:D1000,0.6),3,D13&lt;_xlfn.PERCENTILE.INC(D$3:D1000,0.8),4,TRUE,5)</f>
        <v>5</v>
      </c>
      <c r="H13" s="4">
        <f t="shared" si="14"/>
        <v>5</v>
      </c>
      <c r="I13" s="4">
        <f t="shared" si="4"/>
        <v>13</v>
      </c>
      <c r="J13" s="7" t="str">
        <f t="shared" si="5"/>
        <v>1. Loyal</v>
      </c>
      <c r="L13" s="4" t="s">
        <v>14</v>
      </c>
      <c r="M13" s="4">
        <v>30.0</v>
      </c>
    </row>
    <row r="14">
      <c r="A14" s="4">
        <v>1011.0</v>
      </c>
      <c r="B14" s="1">
        <v>45738.0</v>
      </c>
      <c r="C14" s="4">
        <v>40.0</v>
      </c>
      <c r="D14" s="2">
        <v>4.0</v>
      </c>
      <c r="E14" s="3">
        <v>290.89</v>
      </c>
      <c r="F14" s="4">
        <f t="shared" si="2"/>
        <v>1</v>
      </c>
      <c r="G14" s="4">
        <f t="shared" ref="G14:H14" si="15">IFS(D14&lt;_xlfn.PERCENTILE.INC(D$3:D1000,0.2),1,D14&lt;_xlfn.PERCENTILE.INC(D$3:D1000,0.4),2,D14&lt;_xlfn.PERCENTILE.INC(D$3:D1000,0.6),3,D14&lt;_xlfn.PERCENTILE.INC(D$3:D1000,0.8),4,TRUE,5)</f>
        <v>3</v>
      </c>
      <c r="H14" s="4">
        <f t="shared" si="15"/>
        <v>4</v>
      </c>
      <c r="I14" s="4">
        <f t="shared" si="4"/>
        <v>8</v>
      </c>
      <c r="J14" s="7" t="str">
        <f t="shared" si="5"/>
        <v>3. Average</v>
      </c>
      <c r="L14" s="4" t="s">
        <v>15</v>
      </c>
      <c r="M14" s="4">
        <v>15.0</v>
      </c>
    </row>
    <row r="15">
      <c r="A15" s="4">
        <v>1012.0</v>
      </c>
      <c r="B15" s="1">
        <v>45729.0</v>
      </c>
      <c r="C15" s="4">
        <v>49.0</v>
      </c>
      <c r="D15" s="2">
        <v>5.0</v>
      </c>
      <c r="E15" s="3">
        <v>203.59</v>
      </c>
      <c r="F15" s="4">
        <f t="shared" si="2"/>
        <v>1</v>
      </c>
      <c r="G15" s="4">
        <f t="shared" ref="G15:H15" si="16">IFS(D15&lt;_xlfn.PERCENTILE.INC(D$3:D1000,0.2),1,D15&lt;_xlfn.PERCENTILE.INC(D$3:D1000,0.4),2,D15&lt;_xlfn.PERCENTILE.INC(D$3:D1000,0.6),3,D15&lt;_xlfn.PERCENTILE.INC(D$3:D1000,0.8),4,TRUE,5)</f>
        <v>4</v>
      </c>
      <c r="H15" s="4">
        <f t="shared" si="16"/>
        <v>2</v>
      </c>
      <c r="I15" s="4">
        <f t="shared" si="4"/>
        <v>7</v>
      </c>
      <c r="J15" s="7" t="str">
        <f t="shared" si="5"/>
        <v>3. Average</v>
      </c>
      <c r="L15" s="4" t="s">
        <v>16</v>
      </c>
      <c r="M15" s="4">
        <v>4.0</v>
      </c>
    </row>
    <row r="16">
      <c r="A16" s="4">
        <v>1013.0</v>
      </c>
      <c r="B16" s="1">
        <v>45758.0</v>
      </c>
      <c r="C16" s="4">
        <v>20.0</v>
      </c>
      <c r="D16" s="2">
        <v>7.0</v>
      </c>
      <c r="E16" s="3">
        <v>342.11</v>
      </c>
      <c r="F16" s="4">
        <f t="shared" si="2"/>
        <v>3</v>
      </c>
      <c r="G16" s="4">
        <f t="shared" ref="G16:H16" si="17">IFS(D16&lt;_xlfn.PERCENTILE.INC(D$3:D1000,0.2),1,D16&lt;_xlfn.PERCENTILE.INC(D$3:D1000,0.4),2,D16&lt;_xlfn.PERCENTILE.INC(D$3:D1000,0.6),3,D16&lt;_xlfn.PERCENTILE.INC(D$3:D1000,0.8),4,TRUE,5)</f>
        <v>5</v>
      </c>
      <c r="H16" s="4">
        <f t="shared" si="17"/>
        <v>5</v>
      </c>
      <c r="I16" s="4">
        <f t="shared" si="4"/>
        <v>13</v>
      </c>
      <c r="J16" s="7" t="str">
        <f t="shared" si="5"/>
        <v>1. Loyal</v>
      </c>
      <c r="L16" s="4" t="s">
        <v>17</v>
      </c>
      <c r="M16" s="4">
        <v>101.0</v>
      </c>
    </row>
    <row r="17">
      <c r="A17" s="4">
        <v>1014.0</v>
      </c>
      <c r="B17" s="1">
        <v>45742.0</v>
      </c>
      <c r="C17" s="4">
        <v>36.0</v>
      </c>
      <c r="D17" s="2">
        <v>2.0</v>
      </c>
      <c r="E17" s="3">
        <v>153.12</v>
      </c>
      <c r="F17" s="4">
        <f t="shared" si="2"/>
        <v>2</v>
      </c>
      <c r="G17" s="4">
        <f t="shared" ref="G17:H17" si="18">IFS(D17&lt;_xlfn.PERCENTILE.INC(D$3:D1000,0.2),1,D17&lt;_xlfn.PERCENTILE.INC(D$3:D1000,0.4),2,D17&lt;_xlfn.PERCENTILE.INC(D$3:D1000,0.6),3,D17&lt;_xlfn.PERCENTILE.INC(D$3:D1000,0.8),4,TRUE,5)</f>
        <v>1</v>
      </c>
      <c r="H17" s="4">
        <f t="shared" si="18"/>
        <v>2</v>
      </c>
      <c r="I17" s="4">
        <f t="shared" si="4"/>
        <v>5</v>
      </c>
      <c r="J17" s="7" t="str">
        <f t="shared" si="5"/>
        <v>4. Need Attention</v>
      </c>
      <c r="L17" s="9"/>
      <c r="M17" s="10"/>
      <c r="N17" s="2"/>
    </row>
    <row r="18">
      <c r="A18" s="4">
        <v>1015.0</v>
      </c>
      <c r="B18" s="1">
        <v>45776.0</v>
      </c>
      <c r="C18" s="4">
        <v>2.0</v>
      </c>
      <c r="D18" s="2">
        <v>5.0</v>
      </c>
      <c r="E18" s="3">
        <v>192.64000000000001</v>
      </c>
      <c r="F18" s="4">
        <f t="shared" si="2"/>
        <v>5</v>
      </c>
      <c r="G18" s="4">
        <f t="shared" ref="G18:H18" si="19">IFS(D18&lt;_xlfn.PERCENTILE.INC(D$3:D1000,0.2),1,D18&lt;_xlfn.PERCENTILE.INC(D$3:D1000,0.4),2,D18&lt;_xlfn.PERCENTILE.INC(D$3:D1000,0.6),3,D18&lt;_xlfn.PERCENTILE.INC(D$3:D1000,0.8),4,TRUE,5)</f>
        <v>4</v>
      </c>
      <c r="H18" s="4">
        <f t="shared" si="19"/>
        <v>2</v>
      </c>
      <c r="I18" s="4">
        <f t="shared" si="4"/>
        <v>11</v>
      </c>
      <c r="J18" s="7" t="str">
        <f t="shared" si="5"/>
        <v>2. Potentially Loyal</v>
      </c>
      <c r="M18" s="10"/>
      <c r="N18" s="2"/>
    </row>
    <row r="19">
      <c r="A19" s="4">
        <v>1016.0</v>
      </c>
      <c r="B19" s="1">
        <v>45738.0</v>
      </c>
      <c r="C19" s="4">
        <v>40.0</v>
      </c>
      <c r="D19" s="2">
        <v>3.0</v>
      </c>
      <c r="E19" s="3">
        <v>105.9</v>
      </c>
      <c r="F19" s="4">
        <f t="shared" si="2"/>
        <v>1</v>
      </c>
      <c r="G19" s="4">
        <f t="shared" ref="G19:H19" si="20">IFS(D19&lt;_xlfn.PERCENTILE.INC(D$3:D1000,0.2),1,D19&lt;_xlfn.PERCENTILE.INC(D$3:D1000,0.4),2,D19&lt;_xlfn.PERCENTILE.INC(D$3:D1000,0.6),3,D19&lt;_xlfn.PERCENTILE.INC(D$3:D1000,0.8),4,TRUE,5)</f>
        <v>2</v>
      </c>
      <c r="H19" s="4">
        <f t="shared" si="20"/>
        <v>1</v>
      </c>
      <c r="I19" s="4">
        <f t="shared" si="4"/>
        <v>4</v>
      </c>
      <c r="J19" s="7" t="str">
        <f t="shared" si="5"/>
        <v>4. Need Attention</v>
      </c>
      <c r="M19" s="10"/>
      <c r="N19" s="2"/>
    </row>
    <row r="20">
      <c r="A20" s="4">
        <v>1017.0</v>
      </c>
      <c r="B20" s="1">
        <v>45731.0</v>
      </c>
      <c r="C20" s="4">
        <v>47.0</v>
      </c>
      <c r="D20" s="2">
        <v>4.0</v>
      </c>
      <c r="E20" s="3">
        <v>205.28000000000003</v>
      </c>
      <c r="F20" s="4">
        <f t="shared" si="2"/>
        <v>1</v>
      </c>
      <c r="G20" s="4">
        <f t="shared" ref="G20:H20" si="21">IFS(D20&lt;_xlfn.PERCENTILE.INC(D$3:D1000,0.2),1,D20&lt;_xlfn.PERCENTILE.INC(D$3:D1000,0.4),2,D20&lt;_xlfn.PERCENTILE.INC(D$3:D1000,0.6),3,D20&lt;_xlfn.PERCENTILE.INC(D$3:D1000,0.8),4,TRUE,5)</f>
        <v>3</v>
      </c>
      <c r="H20" s="4">
        <f t="shared" si="21"/>
        <v>3</v>
      </c>
      <c r="I20" s="4">
        <f t="shared" si="4"/>
        <v>7</v>
      </c>
      <c r="J20" s="7" t="str">
        <f t="shared" si="5"/>
        <v>3. Average</v>
      </c>
      <c r="M20" s="10"/>
      <c r="N20" s="2"/>
    </row>
    <row r="21">
      <c r="A21" s="4">
        <v>1018.0</v>
      </c>
      <c r="B21" s="1">
        <v>45764.0</v>
      </c>
      <c r="C21" s="4">
        <v>14.0</v>
      </c>
      <c r="D21" s="2">
        <v>4.0</v>
      </c>
      <c r="E21" s="3">
        <v>215.32000000000002</v>
      </c>
      <c r="F21" s="4">
        <f t="shared" si="2"/>
        <v>3</v>
      </c>
      <c r="G21" s="4">
        <f t="shared" ref="G21:H21" si="22">IFS(D21&lt;_xlfn.PERCENTILE.INC(D$3:D1000,0.2),1,D21&lt;_xlfn.PERCENTILE.INC(D$3:D1000,0.4),2,D21&lt;_xlfn.PERCENTILE.INC(D$3:D1000,0.6),3,D21&lt;_xlfn.PERCENTILE.INC(D$3:D1000,0.8),4,TRUE,5)</f>
        <v>3</v>
      </c>
      <c r="H21" s="4">
        <f t="shared" si="22"/>
        <v>3</v>
      </c>
      <c r="I21" s="4">
        <f t="shared" si="4"/>
        <v>9</v>
      </c>
      <c r="J21" s="7" t="str">
        <f t="shared" si="5"/>
        <v>3. Average</v>
      </c>
      <c r="M21" s="10"/>
      <c r="N21" s="2"/>
    </row>
    <row r="22">
      <c r="A22" s="4">
        <v>1019.0</v>
      </c>
      <c r="B22" s="1">
        <v>45771.0</v>
      </c>
      <c r="C22" s="4">
        <v>7.0</v>
      </c>
      <c r="D22" s="2">
        <v>4.0</v>
      </c>
      <c r="E22" s="3">
        <v>136.97</v>
      </c>
      <c r="F22" s="4">
        <f t="shared" si="2"/>
        <v>4</v>
      </c>
      <c r="G22" s="4">
        <f t="shared" ref="G22:H22" si="23">IFS(D22&lt;_xlfn.PERCENTILE.INC(D$3:D1000,0.2),1,D22&lt;_xlfn.PERCENTILE.INC(D$3:D1000,0.4),2,D22&lt;_xlfn.PERCENTILE.INC(D$3:D1000,0.6),3,D22&lt;_xlfn.PERCENTILE.INC(D$3:D1000,0.8),4,TRUE,5)</f>
        <v>3</v>
      </c>
      <c r="H22" s="4">
        <f t="shared" si="23"/>
        <v>1</v>
      </c>
      <c r="I22" s="4">
        <f t="shared" si="4"/>
        <v>8</v>
      </c>
      <c r="J22" s="7" t="str">
        <f t="shared" si="5"/>
        <v>3. Average</v>
      </c>
      <c r="M22" s="10"/>
      <c r="N22" s="2"/>
    </row>
    <row r="23">
      <c r="A23" s="4">
        <v>1020.0</v>
      </c>
      <c r="B23" s="1">
        <v>45758.0</v>
      </c>
      <c r="C23" s="4">
        <v>20.0</v>
      </c>
      <c r="D23" s="2">
        <v>3.0</v>
      </c>
      <c r="E23" s="3">
        <v>142.58</v>
      </c>
      <c r="F23" s="4">
        <f t="shared" si="2"/>
        <v>3</v>
      </c>
      <c r="G23" s="4">
        <f t="shared" ref="G23:H23" si="24">IFS(D23&lt;_xlfn.PERCENTILE.INC(D$3:D1000,0.2),1,D23&lt;_xlfn.PERCENTILE.INC(D$3:D1000,0.4),2,D23&lt;_xlfn.PERCENTILE.INC(D$3:D1000,0.6),3,D23&lt;_xlfn.PERCENTILE.INC(D$3:D1000,0.8),4,TRUE,5)</f>
        <v>2</v>
      </c>
      <c r="H23" s="4">
        <f t="shared" si="24"/>
        <v>2</v>
      </c>
      <c r="I23" s="4">
        <f t="shared" si="4"/>
        <v>7</v>
      </c>
      <c r="J23" s="7" t="str">
        <f t="shared" si="5"/>
        <v>3. Average</v>
      </c>
      <c r="M23" s="10"/>
      <c r="N23" s="2"/>
    </row>
    <row r="24">
      <c r="A24" s="4">
        <v>1021.0</v>
      </c>
      <c r="B24" s="1">
        <v>45737.0</v>
      </c>
      <c r="C24" s="4">
        <v>41.0</v>
      </c>
      <c r="D24" s="2">
        <v>7.0</v>
      </c>
      <c r="E24" s="3">
        <v>319.39</v>
      </c>
      <c r="F24" s="4">
        <f t="shared" si="2"/>
        <v>1</v>
      </c>
      <c r="G24" s="4">
        <f t="shared" ref="G24:H24" si="25">IFS(D24&lt;_xlfn.PERCENTILE.INC(D$3:D1000,0.2),1,D24&lt;_xlfn.PERCENTILE.INC(D$3:D1000,0.4),2,D24&lt;_xlfn.PERCENTILE.INC(D$3:D1000,0.6),3,D24&lt;_xlfn.PERCENTILE.INC(D$3:D1000,0.8),4,TRUE,5)</f>
        <v>5</v>
      </c>
      <c r="H24" s="4">
        <f t="shared" si="25"/>
        <v>4</v>
      </c>
      <c r="I24" s="4">
        <f t="shared" si="4"/>
        <v>10</v>
      </c>
      <c r="J24" s="7" t="str">
        <f t="shared" si="5"/>
        <v>2. Potentially Loyal</v>
      </c>
      <c r="M24" s="10"/>
      <c r="N24" s="2"/>
    </row>
    <row r="25">
      <c r="A25" s="4">
        <v>1022.0</v>
      </c>
      <c r="B25" s="1">
        <v>45757.0</v>
      </c>
      <c r="C25" s="4">
        <v>21.0</v>
      </c>
      <c r="D25" s="2">
        <v>5.0</v>
      </c>
      <c r="E25" s="3">
        <v>285.46999999999997</v>
      </c>
      <c r="F25" s="4">
        <f t="shared" si="2"/>
        <v>3</v>
      </c>
      <c r="G25" s="4">
        <f t="shared" ref="G25:H25" si="26">IFS(D25&lt;_xlfn.PERCENTILE.INC(D$3:D1000,0.2),1,D25&lt;_xlfn.PERCENTILE.INC(D$3:D1000,0.4),2,D25&lt;_xlfn.PERCENTILE.INC(D$3:D1000,0.6),3,D25&lt;_xlfn.PERCENTILE.INC(D$3:D1000,0.8),4,TRUE,5)</f>
        <v>4</v>
      </c>
      <c r="H25" s="4">
        <f t="shared" si="26"/>
        <v>4</v>
      </c>
      <c r="I25" s="4">
        <f t="shared" si="4"/>
        <v>11</v>
      </c>
      <c r="J25" s="7" t="str">
        <f t="shared" si="5"/>
        <v>2. Potentially Loyal</v>
      </c>
      <c r="M25" s="10"/>
      <c r="N25" s="2"/>
    </row>
    <row r="26">
      <c r="A26" s="4">
        <v>1023.0</v>
      </c>
      <c r="B26" s="1">
        <v>45750.0</v>
      </c>
      <c r="C26" s="4">
        <v>28.0</v>
      </c>
      <c r="D26" s="2">
        <v>6.0</v>
      </c>
      <c r="E26" s="3">
        <v>332.72</v>
      </c>
      <c r="F26" s="4">
        <f t="shared" si="2"/>
        <v>2</v>
      </c>
      <c r="G26" s="4">
        <f t="shared" ref="G26:H26" si="27">IFS(D26&lt;_xlfn.PERCENTILE.INC(D$3:D1000,0.2),1,D26&lt;_xlfn.PERCENTILE.INC(D$3:D1000,0.4),2,D26&lt;_xlfn.PERCENTILE.INC(D$3:D1000,0.6),3,D26&lt;_xlfn.PERCENTILE.INC(D$3:D1000,0.8),4,TRUE,5)</f>
        <v>5</v>
      </c>
      <c r="H26" s="4">
        <f t="shared" si="27"/>
        <v>4</v>
      </c>
      <c r="I26" s="4">
        <f t="shared" si="4"/>
        <v>11</v>
      </c>
      <c r="J26" s="7" t="str">
        <f t="shared" si="5"/>
        <v>2. Potentially Loyal</v>
      </c>
      <c r="M26" s="10"/>
      <c r="N26" s="2"/>
    </row>
    <row r="27">
      <c r="A27" s="4">
        <v>1024.0</v>
      </c>
      <c r="B27" s="1">
        <v>45757.0</v>
      </c>
      <c r="C27" s="4">
        <v>21.0</v>
      </c>
      <c r="D27" s="2">
        <v>9.0</v>
      </c>
      <c r="E27" s="3">
        <v>475.5</v>
      </c>
      <c r="F27" s="4">
        <f t="shared" si="2"/>
        <v>3</v>
      </c>
      <c r="G27" s="4">
        <f t="shared" ref="G27:H27" si="28">IFS(D27&lt;_xlfn.PERCENTILE.INC(D$3:D1000,0.2),1,D27&lt;_xlfn.PERCENTILE.INC(D$3:D1000,0.4),2,D27&lt;_xlfn.PERCENTILE.INC(D$3:D1000,0.6),3,D27&lt;_xlfn.PERCENTILE.INC(D$3:D1000,0.8),4,TRUE,5)</f>
        <v>5</v>
      </c>
      <c r="H27" s="4">
        <f t="shared" si="28"/>
        <v>5</v>
      </c>
      <c r="I27" s="4">
        <f t="shared" si="4"/>
        <v>13</v>
      </c>
      <c r="J27" s="7" t="str">
        <f t="shared" si="5"/>
        <v>1. Loyal</v>
      </c>
      <c r="M27" s="10"/>
      <c r="N27" s="2"/>
    </row>
    <row r="28">
      <c r="A28" s="4">
        <v>1025.0</v>
      </c>
      <c r="B28" s="1">
        <v>45759.0</v>
      </c>
      <c r="C28" s="4">
        <v>19.0</v>
      </c>
      <c r="D28" s="2">
        <v>1.0</v>
      </c>
      <c r="E28" s="3">
        <v>59.02</v>
      </c>
      <c r="F28" s="4">
        <f t="shared" si="2"/>
        <v>3</v>
      </c>
      <c r="G28" s="4">
        <f t="shared" ref="G28:H28" si="29">IFS(D28&lt;_xlfn.PERCENTILE.INC(D$3:D1000,0.2),1,D28&lt;_xlfn.PERCENTILE.INC(D$3:D1000,0.4),2,D28&lt;_xlfn.PERCENTILE.INC(D$3:D1000,0.6),3,D28&lt;_xlfn.PERCENTILE.INC(D$3:D1000,0.8),4,TRUE,5)</f>
        <v>1</v>
      </c>
      <c r="H28" s="4">
        <f t="shared" si="29"/>
        <v>1</v>
      </c>
      <c r="I28" s="4">
        <f t="shared" si="4"/>
        <v>5</v>
      </c>
      <c r="J28" s="7" t="str">
        <f t="shared" si="5"/>
        <v>4. Need Attention</v>
      </c>
      <c r="M28" s="10"/>
      <c r="N28" s="2"/>
    </row>
    <row r="29">
      <c r="A29" s="4">
        <v>1026.0</v>
      </c>
      <c r="B29" s="1">
        <v>45769.0</v>
      </c>
      <c r="C29" s="4">
        <v>9.0</v>
      </c>
      <c r="D29" s="2">
        <v>8.0</v>
      </c>
      <c r="E29" s="3">
        <v>508.21000000000004</v>
      </c>
      <c r="F29" s="4">
        <f t="shared" si="2"/>
        <v>4</v>
      </c>
      <c r="G29" s="4">
        <f t="shared" ref="G29:H29" si="30">IFS(D29&lt;_xlfn.PERCENTILE.INC(D$3:D1000,0.2),1,D29&lt;_xlfn.PERCENTILE.INC(D$3:D1000,0.4),2,D29&lt;_xlfn.PERCENTILE.INC(D$3:D1000,0.6),3,D29&lt;_xlfn.PERCENTILE.INC(D$3:D1000,0.8),4,TRUE,5)</f>
        <v>5</v>
      </c>
      <c r="H29" s="4">
        <f t="shared" si="30"/>
        <v>5</v>
      </c>
      <c r="I29" s="4">
        <f t="shared" si="4"/>
        <v>14</v>
      </c>
      <c r="J29" s="7" t="str">
        <f t="shared" si="5"/>
        <v>1. Loyal</v>
      </c>
      <c r="M29" s="10"/>
      <c r="N29" s="2"/>
    </row>
    <row r="30">
      <c r="A30" s="4">
        <v>1027.0</v>
      </c>
      <c r="B30" s="1">
        <v>45765.0</v>
      </c>
      <c r="C30" s="4">
        <v>13.0</v>
      </c>
      <c r="D30" s="2">
        <v>4.0</v>
      </c>
      <c r="E30" s="3">
        <v>116.68</v>
      </c>
      <c r="F30" s="4">
        <f t="shared" si="2"/>
        <v>4</v>
      </c>
      <c r="G30" s="4">
        <f t="shared" ref="G30:H30" si="31">IFS(D30&lt;_xlfn.PERCENTILE.INC(D$3:D1000,0.2),1,D30&lt;_xlfn.PERCENTILE.INC(D$3:D1000,0.4),2,D30&lt;_xlfn.PERCENTILE.INC(D$3:D1000,0.6),3,D30&lt;_xlfn.PERCENTILE.INC(D$3:D1000,0.8),4,TRUE,5)</f>
        <v>3</v>
      </c>
      <c r="H30" s="4">
        <f t="shared" si="31"/>
        <v>1</v>
      </c>
      <c r="I30" s="4">
        <f t="shared" si="4"/>
        <v>8</v>
      </c>
      <c r="J30" s="7" t="str">
        <f t="shared" si="5"/>
        <v>3. Average</v>
      </c>
      <c r="M30" s="10"/>
      <c r="N30" s="2"/>
    </row>
    <row r="31">
      <c r="A31" s="4">
        <v>1028.0</v>
      </c>
      <c r="B31" s="1">
        <v>45745.0</v>
      </c>
      <c r="C31" s="4">
        <v>33.0</v>
      </c>
      <c r="D31" s="2">
        <v>6.0</v>
      </c>
      <c r="E31" s="3">
        <v>284.54</v>
      </c>
      <c r="F31" s="4">
        <f t="shared" si="2"/>
        <v>2</v>
      </c>
      <c r="G31" s="4">
        <f t="shared" ref="G31:H31" si="32">IFS(D31&lt;_xlfn.PERCENTILE.INC(D$3:D1000,0.2),1,D31&lt;_xlfn.PERCENTILE.INC(D$3:D1000,0.4),2,D31&lt;_xlfn.PERCENTILE.INC(D$3:D1000,0.6),3,D31&lt;_xlfn.PERCENTILE.INC(D$3:D1000,0.8),4,TRUE,5)</f>
        <v>5</v>
      </c>
      <c r="H31" s="4">
        <f t="shared" si="32"/>
        <v>4</v>
      </c>
      <c r="I31" s="4">
        <f t="shared" si="4"/>
        <v>11</v>
      </c>
      <c r="J31" s="7" t="str">
        <f t="shared" si="5"/>
        <v>2. Potentially Loyal</v>
      </c>
      <c r="M31" s="10"/>
      <c r="N31" s="2"/>
    </row>
    <row r="32">
      <c r="A32" s="4">
        <v>1029.0</v>
      </c>
      <c r="B32" s="1">
        <v>45687.0</v>
      </c>
      <c r="C32" s="4">
        <v>91.0</v>
      </c>
      <c r="D32" s="2">
        <v>2.0</v>
      </c>
      <c r="E32" s="3">
        <v>140.35</v>
      </c>
      <c r="F32" s="4">
        <f t="shared" si="2"/>
        <v>1</v>
      </c>
      <c r="G32" s="4">
        <f t="shared" ref="G32:H32" si="33">IFS(D32&lt;_xlfn.PERCENTILE.INC(D$3:D1000,0.2),1,D32&lt;_xlfn.PERCENTILE.INC(D$3:D1000,0.4),2,D32&lt;_xlfn.PERCENTILE.INC(D$3:D1000,0.6),3,D32&lt;_xlfn.PERCENTILE.INC(D$3:D1000,0.8),4,TRUE,5)</f>
        <v>1</v>
      </c>
      <c r="H32" s="4">
        <f t="shared" si="33"/>
        <v>2</v>
      </c>
      <c r="I32" s="4">
        <f t="shared" si="4"/>
        <v>4</v>
      </c>
      <c r="J32" s="7" t="str">
        <f t="shared" si="5"/>
        <v>4. Need Attention</v>
      </c>
      <c r="M32" s="10"/>
      <c r="N32" s="2"/>
    </row>
    <row r="33">
      <c r="A33" s="4">
        <v>1030.0</v>
      </c>
      <c r="B33" s="1">
        <v>45760.0</v>
      </c>
      <c r="C33" s="4">
        <v>18.0</v>
      </c>
      <c r="D33" s="2">
        <v>4.0</v>
      </c>
      <c r="E33" s="3">
        <v>138.13</v>
      </c>
      <c r="F33" s="4">
        <f t="shared" si="2"/>
        <v>3</v>
      </c>
      <c r="G33" s="4">
        <f t="shared" ref="G33:H33" si="34">IFS(D33&lt;_xlfn.PERCENTILE.INC(D$3:D1000,0.2),1,D33&lt;_xlfn.PERCENTILE.INC(D$3:D1000,0.4),2,D33&lt;_xlfn.PERCENTILE.INC(D$3:D1000,0.6),3,D33&lt;_xlfn.PERCENTILE.INC(D$3:D1000,0.8),4,TRUE,5)</f>
        <v>3</v>
      </c>
      <c r="H33" s="4">
        <f t="shared" si="34"/>
        <v>2</v>
      </c>
      <c r="I33" s="4">
        <f t="shared" si="4"/>
        <v>8</v>
      </c>
      <c r="J33" s="7" t="str">
        <f t="shared" si="5"/>
        <v>3. Average</v>
      </c>
      <c r="M33" s="10"/>
      <c r="N33" s="2"/>
    </row>
    <row r="34">
      <c r="A34" s="4">
        <v>1031.0</v>
      </c>
      <c r="B34" s="1">
        <v>45767.0</v>
      </c>
      <c r="C34" s="4">
        <v>11.0</v>
      </c>
      <c r="D34" s="2">
        <v>4.0</v>
      </c>
      <c r="E34" s="3">
        <v>220.07</v>
      </c>
      <c r="F34" s="4">
        <f t="shared" si="2"/>
        <v>4</v>
      </c>
      <c r="G34" s="4">
        <f t="shared" ref="G34:H34" si="35">IFS(D34&lt;_xlfn.PERCENTILE.INC(D$3:D1000,0.2),1,D34&lt;_xlfn.PERCENTILE.INC(D$3:D1000,0.4),2,D34&lt;_xlfn.PERCENTILE.INC(D$3:D1000,0.6),3,D34&lt;_xlfn.PERCENTILE.INC(D$3:D1000,0.8),4,TRUE,5)</f>
        <v>3</v>
      </c>
      <c r="H34" s="4">
        <f t="shared" si="35"/>
        <v>3</v>
      </c>
      <c r="I34" s="4">
        <f t="shared" si="4"/>
        <v>10</v>
      </c>
      <c r="J34" s="7" t="str">
        <f t="shared" si="5"/>
        <v>2. Potentially Loyal</v>
      </c>
      <c r="M34" s="10"/>
      <c r="N34" s="2"/>
    </row>
    <row r="35">
      <c r="A35" s="4">
        <v>1032.0</v>
      </c>
      <c r="B35" s="1">
        <v>45751.0</v>
      </c>
      <c r="C35" s="4">
        <v>27.0</v>
      </c>
      <c r="D35" s="2">
        <v>8.0</v>
      </c>
      <c r="E35" s="3">
        <v>405.59000000000003</v>
      </c>
      <c r="F35" s="4">
        <f t="shared" si="2"/>
        <v>2</v>
      </c>
      <c r="G35" s="4">
        <f t="shared" ref="G35:H35" si="36">IFS(D35&lt;_xlfn.PERCENTILE.INC(D$3:D1000,0.2),1,D35&lt;_xlfn.PERCENTILE.INC(D$3:D1000,0.4),2,D35&lt;_xlfn.PERCENTILE.INC(D$3:D1000,0.6),3,D35&lt;_xlfn.PERCENTILE.INC(D$3:D1000,0.8),4,TRUE,5)</f>
        <v>5</v>
      </c>
      <c r="H35" s="4">
        <f t="shared" si="36"/>
        <v>5</v>
      </c>
      <c r="I35" s="4">
        <f t="shared" si="4"/>
        <v>12</v>
      </c>
      <c r="J35" s="7" t="str">
        <f t="shared" si="5"/>
        <v>2. Potentially Loyal</v>
      </c>
      <c r="M35" s="10"/>
      <c r="N35" s="2"/>
    </row>
    <row r="36">
      <c r="A36" s="4">
        <v>1033.0</v>
      </c>
      <c r="B36" s="1">
        <v>45707.0</v>
      </c>
      <c r="C36" s="4">
        <v>71.0</v>
      </c>
      <c r="D36" s="2">
        <v>2.0</v>
      </c>
      <c r="E36" s="3">
        <v>165.37</v>
      </c>
      <c r="F36" s="4">
        <f t="shared" si="2"/>
        <v>1</v>
      </c>
      <c r="G36" s="4">
        <f t="shared" ref="G36:H36" si="37">IFS(D36&lt;_xlfn.PERCENTILE.INC(D$3:D1000,0.2),1,D36&lt;_xlfn.PERCENTILE.INC(D$3:D1000,0.4),2,D36&lt;_xlfn.PERCENTILE.INC(D$3:D1000,0.6),3,D36&lt;_xlfn.PERCENTILE.INC(D$3:D1000,0.8),4,TRUE,5)</f>
        <v>1</v>
      </c>
      <c r="H36" s="4">
        <f t="shared" si="37"/>
        <v>2</v>
      </c>
      <c r="I36" s="4">
        <f t="shared" si="4"/>
        <v>4</v>
      </c>
      <c r="J36" s="7" t="str">
        <f t="shared" si="5"/>
        <v>4. Need Attention</v>
      </c>
      <c r="M36" s="10"/>
      <c r="N36" s="2"/>
    </row>
    <row r="37">
      <c r="A37" s="4">
        <v>1034.0</v>
      </c>
      <c r="B37" s="1">
        <v>45769.0</v>
      </c>
      <c r="C37" s="4">
        <v>9.0</v>
      </c>
      <c r="D37" s="2">
        <v>1.0</v>
      </c>
      <c r="E37" s="3">
        <v>16.84</v>
      </c>
      <c r="F37" s="4">
        <f t="shared" si="2"/>
        <v>4</v>
      </c>
      <c r="G37" s="4">
        <f t="shared" ref="G37:H37" si="38">IFS(D37&lt;_xlfn.PERCENTILE.INC(D$3:D1000,0.2),1,D37&lt;_xlfn.PERCENTILE.INC(D$3:D1000,0.4),2,D37&lt;_xlfn.PERCENTILE.INC(D$3:D1000,0.6),3,D37&lt;_xlfn.PERCENTILE.INC(D$3:D1000,0.8),4,TRUE,5)</f>
        <v>1</v>
      </c>
      <c r="H37" s="4">
        <f t="shared" si="38"/>
        <v>1</v>
      </c>
      <c r="I37" s="4">
        <f t="shared" si="4"/>
        <v>6</v>
      </c>
      <c r="J37" s="7" t="str">
        <f t="shared" si="5"/>
        <v>4. Need Attention</v>
      </c>
      <c r="M37" s="10"/>
      <c r="N37" s="2"/>
    </row>
    <row r="38">
      <c r="A38" s="4">
        <v>1035.0</v>
      </c>
      <c r="B38" s="1">
        <v>45768.0</v>
      </c>
      <c r="C38" s="4">
        <v>10.0</v>
      </c>
      <c r="D38" s="2">
        <v>2.0</v>
      </c>
      <c r="E38" s="3">
        <v>112.9</v>
      </c>
      <c r="F38" s="4">
        <f t="shared" si="2"/>
        <v>4</v>
      </c>
      <c r="G38" s="4">
        <f t="shared" ref="G38:H38" si="39">IFS(D38&lt;_xlfn.PERCENTILE.INC(D$3:D1000,0.2),1,D38&lt;_xlfn.PERCENTILE.INC(D$3:D1000,0.4),2,D38&lt;_xlfn.PERCENTILE.INC(D$3:D1000,0.6),3,D38&lt;_xlfn.PERCENTILE.INC(D$3:D1000,0.8),4,TRUE,5)</f>
        <v>1</v>
      </c>
      <c r="H38" s="4">
        <f t="shared" si="39"/>
        <v>1</v>
      </c>
      <c r="I38" s="4">
        <f t="shared" si="4"/>
        <v>6</v>
      </c>
      <c r="J38" s="7" t="str">
        <f t="shared" si="5"/>
        <v>4. Need Attention</v>
      </c>
      <c r="M38" s="10"/>
      <c r="N38" s="2"/>
    </row>
    <row r="39">
      <c r="A39" s="4">
        <v>1036.0</v>
      </c>
      <c r="B39" s="1">
        <v>45775.0</v>
      </c>
      <c r="C39" s="4">
        <v>3.0</v>
      </c>
      <c r="D39" s="2">
        <v>6.0</v>
      </c>
      <c r="E39" s="3">
        <v>332.96</v>
      </c>
      <c r="F39" s="4">
        <f t="shared" si="2"/>
        <v>5</v>
      </c>
      <c r="G39" s="4">
        <f t="shared" ref="G39:H39" si="40">IFS(D39&lt;_xlfn.PERCENTILE.INC(D$3:D1000,0.2),1,D39&lt;_xlfn.PERCENTILE.INC(D$3:D1000,0.4),2,D39&lt;_xlfn.PERCENTILE.INC(D$3:D1000,0.6),3,D39&lt;_xlfn.PERCENTILE.INC(D$3:D1000,0.8),4,TRUE,5)</f>
        <v>5</v>
      </c>
      <c r="H39" s="4">
        <f t="shared" si="40"/>
        <v>5</v>
      </c>
      <c r="I39" s="4">
        <f t="shared" si="4"/>
        <v>15</v>
      </c>
      <c r="J39" s="7" t="str">
        <f t="shared" si="5"/>
        <v>1. Loyal</v>
      </c>
      <c r="M39" s="10"/>
      <c r="N39" s="2"/>
    </row>
    <row r="40">
      <c r="A40" s="4">
        <v>1037.0</v>
      </c>
      <c r="B40" s="1">
        <v>45737.0</v>
      </c>
      <c r="C40" s="4">
        <v>41.0</v>
      </c>
      <c r="D40" s="2">
        <v>5.0</v>
      </c>
      <c r="E40" s="3">
        <v>151.93</v>
      </c>
      <c r="F40" s="4">
        <f t="shared" si="2"/>
        <v>1</v>
      </c>
      <c r="G40" s="4">
        <f t="shared" ref="G40:H40" si="41">IFS(D40&lt;_xlfn.PERCENTILE.INC(D$3:D1000,0.2),1,D40&lt;_xlfn.PERCENTILE.INC(D$3:D1000,0.4),2,D40&lt;_xlfn.PERCENTILE.INC(D$3:D1000,0.6),3,D40&lt;_xlfn.PERCENTILE.INC(D$3:D1000,0.8),4,TRUE,5)</f>
        <v>4</v>
      </c>
      <c r="H40" s="4">
        <f t="shared" si="41"/>
        <v>2</v>
      </c>
      <c r="I40" s="4">
        <f t="shared" si="4"/>
        <v>7</v>
      </c>
      <c r="J40" s="7" t="str">
        <f t="shared" si="5"/>
        <v>3. Average</v>
      </c>
      <c r="M40" s="10"/>
      <c r="N40" s="2"/>
    </row>
    <row r="41">
      <c r="A41" s="4">
        <v>1038.0</v>
      </c>
      <c r="B41" s="1">
        <v>45768.0</v>
      </c>
      <c r="C41" s="4">
        <v>10.0</v>
      </c>
      <c r="D41" s="2">
        <v>6.0</v>
      </c>
      <c r="E41" s="3">
        <v>274.89</v>
      </c>
      <c r="F41" s="4">
        <f t="shared" si="2"/>
        <v>4</v>
      </c>
      <c r="G41" s="4">
        <f t="shared" ref="G41:H41" si="42">IFS(D41&lt;_xlfn.PERCENTILE.INC(D$3:D1000,0.2),1,D41&lt;_xlfn.PERCENTILE.INC(D$3:D1000,0.4),2,D41&lt;_xlfn.PERCENTILE.INC(D$3:D1000,0.6),3,D41&lt;_xlfn.PERCENTILE.INC(D$3:D1000,0.8),4,TRUE,5)</f>
        <v>5</v>
      </c>
      <c r="H41" s="4">
        <f t="shared" si="42"/>
        <v>4</v>
      </c>
      <c r="I41" s="4">
        <f t="shared" si="4"/>
        <v>13</v>
      </c>
      <c r="J41" s="7" t="str">
        <f t="shared" si="5"/>
        <v>1. Loyal</v>
      </c>
      <c r="M41" s="10"/>
      <c r="N41" s="2"/>
    </row>
    <row r="42">
      <c r="A42" s="4">
        <v>1039.0</v>
      </c>
      <c r="B42" s="1">
        <v>45770.0</v>
      </c>
      <c r="C42" s="4">
        <v>8.0</v>
      </c>
      <c r="D42" s="2">
        <v>4.0</v>
      </c>
      <c r="E42" s="3">
        <v>261.77</v>
      </c>
      <c r="F42" s="4">
        <f t="shared" si="2"/>
        <v>4</v>
      </c>
      <c r="G42" s="4">
        <f t="shared" ref="G42:H42" si="43">IFS(D42&lt;_xlfn.PERCENTILE.INC(D$3:D1000,0.2),1,D42&lt;_xlfn.PERCENTILE.INC(D$3:D1000,0.4),2,D42&lt;_xlfn.PERCENTILE.INC(D$3:D1000,0.6),3,D42&lt;_xlfn.PERCENTILE.INC(D$3:D1000,0.8),4,TRUE,5)</f>
        <v>3</v>
      </c>
      <c r="H42" s="4">
        <f t="shared" si="43"/>
        <v>4</v>
      </c>
      <c r="I42" s="4">
        <f t="shared" si="4"/>
        <v>11</v>
      </c>
      <c r="J42" s="7" t="str">
        <f t="shared" si="5"/>
        <v>2. Potentially Loyal</v>
      </c>
      <c r="M42" s="10"/>
      <c r="N42" s="2"/>
    </row>
    <row r="43">
      <c r="A43" s="4">
        <v>1040.0</v>
      </c>
      <c r="B43" s="1">
        <v>45768.0</v>
      </c>
      <c r="C43" s="4">
        <v>10.0</v>
      </c>
      <c r="D43" s="2">
        <v>6.0</v>
      </c>
      <c r="E43" s="3">
        <v>263.7</v>
      </c>
      <c r="F43" s="4">
        <f t="shared" si="2"/>
        <v>4</v>
      </c>
      <c r="G43" s="4">
        <f t="shared" ref="G43:H43" si="44">IFS(D43&lt;_xlfn.PERCENTILE.INC(D$3:D1000,0.2),1,D43&lt;_xlfn.PERCENTILE.INC(D$3:D1000,0.4),2,D43&lt;_xlfn.PERCENTILE.INC(D$3:D1000,0.6),3,D43&lt;_xlfn.PERCENTILE.INC(D$3:D1000,0.8),4,TRUE,5)</f>
        <v>5</v>
      </c>
      <c r="H43" s="4">
        <f t="shared" si="44"/>
        <v>4</v>
      </c>
      <c r="I43" s="4">
        <f t="shared" si="4"/>
        <v>13</v>
      </c>
      <c r="J43" s="7" t="str">
        <f t="shared" si="5"/>
        <v>1. Loyal</v>
      </c>
      <c r="M43" s="10"/>
      <c r="N43" s="2"/>
    </row>
    <row r="44">
      <c r="A44" s="4">
        <v>1041.0</v>
      </c>
      <c r="B44" s="1">
        <v>45750.0</v>
      </c>
      <c r="C44" s="4">
        <v>28.0</v>
      </c>
      <c r="D44" s="2">
        <v>7.0</v>
      </c>
      <c r="E44" s="3">
        <v>417.73999999999995</v>
      </c>
      <c r="F44" s="4">
        <f t="shared" si="2"/>
        <v>2</v>
      </c>
      <c r="G44" s="4">
        <f t="shared" ref="G44:H44" si="45">IFS(D44&lt;_xlfn.PERCENTILE.INC(D$3:D1000,0.2),1,D44&lt;_xlfn.PERCENTILE.INC(D$3:D1000,0.4),2,D44&lt;_xlfn.PERCENTILE.INC(D$3:D1000,0.6),3,D44&lt;_xlfn.PERCENTILE.INC(D$3:D1000,0.8),4,TRUE,5)</f>
        <v>5</v>
      </c>
      <c r="H44" s="4">
        <f t="shared" si="45"/>
        <v>5</v>
      </c>
      <c r="I44" s="4">
        <f t="shared" si="4"/>
        <v>12</v>
      </c>
      <c r="J44" s="7" t="str">
        <f t="shared" si="5"/>
        <v>2. Potentially Loyal</v>
      </c>
      <c r="M44" s="10"/>
      <c r="N44" s="2"/>
    </row>
    <row r="45">
      <c r="A45" s="4">
        <v>1042.0</v>
      </c>
      <c r="B45" s="1">
        <v>45772.0</v>
      </c>
      <c r="C45" s="4">
        <v>6.0</v>
      </c>
      <c r="D45" s="2">
        <v>4.0</v>
      </c>
      <c r="E45" s="3">
        <v>98.63</v>
      </c>
      <c r="F45" s="4">
        <f t="shared" si="2"/>
        <v>5</v>
      </c>
      <c r="G45" s="4">
        <f t="shared" ref="G45:H45" si="46">IFS(D45&lt;_xlfn.PERCENTILE.INC(D$3:D1000,0.2),1,D45&lt;_xlfn.PERCENTILE.INC(D$3:D1000,0.4),2,D45&lt;_xlfn.PERCENTILE.INC(D$3:D1000,0.6),3,D45&lt;_xlfn.PERCENTILE.INC(D$3:D1000,0.8),4,TRUE,5)</f>
        <v>3</v>
      </c>
      <c r="H45" s="4">
        <f t="shared" si="46"/>
        <v>1</v>
      </c>
      <c r="I45" s="4">
        <f t="shared" si="4"/>
        <v>9</v>
      </c>
      <c r="J45" s="7" t="str">
        <f t="shared" si="5"/>
        <v>3. Average</v>
      </c>
      <c r="M45" s="10"/>
      <c r="N45" s="2"/>
    </row>
    <row r="46">
      <c r="A46" s="4">
        <v>1043.0</v>
      </c>
      <c r="B46" s="1">
        <v>45771.0</v>
      </c>
      <c r="C46" s="4">
        <v>7.0</v>
      </c>
      <c r="D46" s="2">
        <v>6.0</v>
      </c>
      <c r="E46" s="3">
        <v>302.49</v>
      </c>
      <c r="F46" s="4">
        <f t="shared" si="2"/>
        <v>4</v>
      </c>
      <c r="G46" s="4">
        <f t="shared" ref="G46:H46" si="47">IFS(D46&lt;_xlfn.PERCENTILE.INC(D$3:D1000,0.2),1,D46&lt;_xlfn.PERCENTILE.INC(D$3:D1000,0.4),2,D46&lt;_xlfn.PERCENTILE.INC(D$3:D1000,0.6),3,D46&lt;_xlfn.PERCENTILE.INC(D$3:D1000,0.8),4,TRUE,5)</f>
        <v>5</v>
      </c>
      <c r="H46" s="4">
        <f t="shared" si="47"/>
        <v>4</v>
      </c>
      <c r="I46" s="4">
        <f t="shared" si="4"/>
        <v>13</v>
      </c>
      <c r="J46" s="7" t="str">
        <f t="shared" si="5"/>
        <v>1. Loyal</v>
      </c>
      <c r="M46" s="10"/>
      <c r="N46" s="2"/>
    </row>
    <row r="47">
      <c r="A47" s="4">
        <v>1044.0</v>
      </c>
      <c r="B47" s="1">
        <v>45728.0</v>
      </c>
      <c r="C47" s="4">
        <v>50.0</v>
      </c>
      <c r="D47" s="2">
        <v>5.0</v>
      </c>
      <c r="E47" s="3">
        <v>213.13</v>
      </c>
      <c r="F47" s="4">
        <f t="shared" si="2"/>
        <v>1</v>
      </c>
      <c r="G47" s="4">
        <f t="shared" ref="G47:H47" si="48">IFS(D47&lt;_xlfn.PERCENTILE.INC(D$3:D1000,0.2),1,D47&lt;_xlfn.PERCENTILE.INC(D$3:D1000,0.4),2,D47&lt;_xlfn.PERCENTILE.INC(D$3:D1000,0.6),3,D47&lt;_xlfn.PERCENTILE.INC(D$3:D1000,0.8),4,TRUE,5)</f>
        <v>4</v>
      </c>
      <c r="H47" s="4">
        <f t="shared" si="48"/>
        <v>3</v>
      </c>
      <c r="I47" s="4">
        <f t="shared" si="4"/>
        <v>8</v>
      </c>
      <c r="J47" s="7" t="str">
        <f t="shared" si="5"/>
        <v>3. Average</v>
      </c>
      <c r="M47" s="10"/>
      <c r="N47" s="2"/>
    </row>
    <row r="48">
      <c r="A48" s="4">
        <v>1045.0</v>
      </c>
      <c r="B48" s="1">
        <v>45724.0</v>
      </c>
      <c r="C48" s="4">
        <v>54.0</v>
      </c>
      <c r="D48" s="2">
        <v>1.0</v>
      </c>
      <c r="E48" s="3">
        <v>91.65</v>
      </c>
      <c r="F48" s="4">
        <f t="shared" si="2"/>
        <v>1</v>
      </c>
      <c r="G48" s="4">
        <f t="shared" ref="G48:H48" si="49">IFS(D48&lt;_xlfn.PERCENTILE.INC(D$3:D1000,0.2),1,D48&lt;_xlfn.PERCENTILE.INC(D$3:D1000,0.4),2,D48&lt;_xlfn.PERCENTILE.INC(D$3:D1000,0.6),3,D48&lt;_xlfn.PERCENTILE.INC(D$3:D1000,0.8),4,TRUE,5)</f>
        <v>1</v>
      </c>
      <c r="H48" s="4">
        <f t="shared" si="49"/>
        <v>1</v>
      </c>
      <c r="I48" s="4">
        <f t="shared" si="4"/>
        <v>3</v>
      </c>
      <c r="J48" s="7" t="str">
        <f t="shared" si="5"/>
        <v>5. At Risk</v>
      </c>
      <c r="M48" s="10"/>
      <c r="N48" s="2"/>
    </row>
    <row r="49">
      <c r="A49" s="4">
        <v>1046.0</v>
      </c>
      <c r="B49" s="1">
        <v>45761.0</v>
      </c>
      <c r="C49" s="4">
        <v>17.0</v>
      </c>
      <c r="D49" s="2">
        <v>4.0</v>
      </c>
      <c r="E49" s="3">
        <v>137.65</v>
      </c>
      <c r="F49" s="4">
        <f t="shared" si="2"/>
        <v>3</v>
      </c>
      <c r="G49" s="4">
        <f t="shared" ref="G49:H49" si="50">IFS(D49&lt;_xlfn.PERCENTILE.INC(D$3:D1000,0.2),1,D49&lt;_xlfn.PERCENTILE.INC(D$3:D1000,0.4),2,D49&lt;_xlfn.PERCENTILE.INC(D$3:D1000,0.6),3,D49&lt;_xlfn.PERCENTILE.INC(D$3:D1000,0.8),4,TRUE,5)</f>
        <v>3</v>
      </c>
      <c r="H49" s="4">
        <f t="shared" si="50"/>
        <v>2</v>
      </c>
      <c r="I49" s="4">
        <f t="shared" si="4"/>
        <v>8</v>
      </c>
      <c r="J49" s="7" t="str">
        <f t="shared" si="5"/>
        <v>3. Average</v>
      </c>
      <c r="M49" s="10"/>
      <c r="N49" s="2"/>
    </row>
    <row r="50">
      <c r="A50" s="4">
        <v>1047.0</v>
      </c>
      <c r="B50" s="1">
        <v>45752.0</v>
      </c>
      <c r="C50" s="4">
        <v>26.0</v>
      </c>
      <c r="D50" s="2">
        <v>6.0</v>
      </c>
      <c r="E50" s="3">
        <v>247.91</v>
      </c>
      <c r="F50" s="4">
        <f t="shared" si="2"/>
        <v>2</v>
      </c>
      <c r="G50" s="4">
        <f t="shared" ref="G50:H50" si="51">IFS(D50&lt;_xlfn.PERCENTILE.INC(D$3:D1000,0.2),1,D50&lt;_xlfn.PERCENTILE.INC(D$3:D1000,0.4),2,D50&lt;_xlfn.PERCENTILE.INC(D$3:D1000,0.6),3,D50&lt;_xlfn.PERCENTILE.INC(D$3:D1000,0.8),4,TRUE,5)</f>
        <v>5</v>
      </c>
      <c r="H50" s="4">
        <f t="shared" si="51"/>
        <v>3</v>
      </c>
      <c r="I50" s="4">
        <f t="shared" si="4"/>
        <v>10</v>
      </c>
      <c r="J50" s="7" t="str">
        <f t="shared" si="5"/>
        <v>2. Potentially Loyal</v>
      </c>
      <c r="M50" s="10"/>
      <c r="N50" s="2"/>
    </row>
    <row r="51">
      <c r="A51" s="4">
        <v>1048.0</v>
      </c>
      <c r="B51" s="1">
        <v>45769.0</v>
      </c>
      <c r="C51" s="4">
        <v>9.0</v>
      </c>
      <c r="D51" s="2">
        <v>6.0</v>
      </c>
      <c r="E51" s="3">
        <v>373.38999999999993</v>
      </c>
      <c r="F51" s="4">
        <f t="shared" si="2"/>
        <v>4</v>
      </c>
      <c r="G51" s="4">
        <f t="shared" ref="G51:H51" si="52">IFS(D51&lt;_xlfn.PERCENTILE.INC(D$3:D1000,0.2),1,D51&lt;_xlfn.PERCENTILE.INC(D$3:D1000,0.4),2,D51&lt;_xlfn.PERCENTILE.INC(D$3:D1000,0.6),3,D51&lt;_xlfn.PERCENTILE.INC(D$3:D1000,0.8),4,TRUE,5)</f>
        <v>5</v>
      </c>
      <c r="H51" s="4">
        <f t="shared" si="52"/>
        <v>5</v>
      </c>
      <c r="I51" s="4">
        <f t="shared" si="4"/>
        <v>14</v>
      </c>
      <c r="J51" s="7" t="str">
        <f t="shared" si="5"/>
        <v>1. Loyal</v>
      </c>
      <c r="M51" s="10"/>
      <c r="N51" s="2"/>
    </row>
    <row r="52">
      <c r="A52" s="4">
        <v>1049.0</v>
      </c>
      <c r="B52" s="1">
        <v>45749.0</v>
      </c>
      <c r="C52" s="4">
        <v>29.0</v>
      </c>
      <c r="D52" s="2">
        <v>5.0</v>
      </c>
      <c r="E52" s="3">
        <v>343.79</v>
      </c>
      <c r="F52" s="4">
        <f t="shared" si="2"/>
        <v>2</v>
      </c>
      <c r="G52" s="4">
        <f t="shared" ref="G52:H52" si="53">IFS(D52&lt;_xlfn.PERCENTILE.INC(D$3:D1000,0.2),1,D52&lt;_xlfn.PERCENTILE.INC(D$3:D1000,0.4),2,D52&lt;_xlfn.PERCENTILE.INC(D$3:D1000,0.6),3,D52&lt;_xlfn.PERCENTILE.INC(D$3:D1000,0.8),4,TRUE,5)</f>
        <v>4</v>
      </c>
      <c r="H52" s="4">
        <f t="shared" si="53"/>
        <v>5</v>
      </c>
      <c r="I52" s="4">
        <f t="shared" si="4"/>
        <v>11</v>
      </c>
      <c r="J52" s="7" t="str">
        <f t="shared" si="5"/>
        <v>2. Potentially Loyal</v>
      </c>
      <c r="M52" s="10"/>
      <c r="N52" s="2"/>
    </row>
    <row r="53">
      <c r="A53" s="4">
        <v>1050.0</v>
      </c>
      <c r="B53" s="1">
        <v>45774.0</v>
      </c>
      <c r="C53" s="4">
        <v>4.0</v>
      </c>
      <c r="D53" s="2">
        <v>5.0</v>
      </c>
      <c r="E53" s="3">
        <v>269.15</v>
      </c>
      <c r="F53" s="4">
        <f t="shared" si="2"/>
        <v>5</v>
      </c>
      <c r="G53" s="4">
        <f t="shared" ref="G53:H53" si="54">IFS(D53&lt;_xlfn.PERCENTILE.INC(D$3:D1000,0.2),1,D53&lt;_xlfn.PERCENTILE.INC(D$3:D1000,0.4),2,D53&lt;_xlfn.PERCENTILE.INC(D$3:D1000,0.6),3,D53&lt;_xlfn.PERCENTILE.INC(D$3:D1000,0.8),4,TRUE,5)</f>
        <v>4</v>
      </c>
      <c r="H53" s="4">
        <f t="shared" si="54"/>
        <v>4</v>
      </c>
      <c r="I53" s="4">
        <f t="shared" si="4"/>
        <v>13</v>
      </c>
      <c r="J53" s="7" t="str">
        <f t="shared" si="5"/>
        <v>1. Loyal</v>
      </c>
      <c r="M53" s="10"/>
      <c r="N53" s="2"/>
    </row>
    <row r="54">
      <c r="A54" s="4">
        <v>1051.0</v>
      </c>
      <c r="B54" s="1">
        <v>45721.0</v>
      </c>
      <c r="C54" s="4">
        <v>57.0</v>
      </c>
      <c r="D54" s="2">
        <v>3.0</v>
      </c>
      <c r="E54" s="3">
        <v>91.7</v>
      </c>
      <c r="F54" s="4">
        <f t="shared" si="2"/>
        <v>1</v>
      </c>
      <c r="G54" s="4">
        <f t="shared" ref="G54:H54" si="55">IFS(D54&lt;_xlfn.PERCENTILE.INC(D$3:D1000,0.2),1,D54&lt;_xlfn.PERCENTILE.INC(D$3:D1000,0.4),2,D54&lt;_xlfn.PERCENTILE.INC(D$3:D1000,0.6),3,D54&lt;_xlfn.PERCENTILE.INC(D$3:D1000,0.8),4,TRUE,5)</f>
        <v>2</v>
      </c>
      <c r="H54" s="4">
        <f t="shared" si="55"/>
        <v>1</v>
      </c>
      <c r="I54" s="4">
        <f t="shared" si="4"/>
        <v>4</v>
      </c>
      <c r="J54" s="7" t="str">
        <f t="shared" si="5"/>
        <v>4. Need Attention</v>
      </c>
      <c r="M54" s="10"/>
      <c r="N54" s="2"/>
    </row>
    <row r="55">
      <c r="A55" s="4">
        <v>1052.0</v>
      </c>
      <c r="B55" s="1">
        <v>45739.0</v>
      </c>
      <c r="C55" s="4">
        <v>39.0</v>
      </c>
      <c r="D55" s="2">
        <v>5.0</v>
      </c>
      <c r="E55" s="3">
        <v>309.94</v>
      </c>
      <c r="F55" s="4">
        <f t="shared" si="2"/>
        <v>2</v>
      </c>
      <c r="G55" s="4">
        <f t="shared" ref="G55:H55" si="56">IFS(D55&lt;_xlfn.PERCENTILE.INC(D$3:D1000,0.2),1,D55&lt;_xlfn.PERCENTILE.INC(D$3:D1000,0.4),2,D55&lt;_xlfn.PERCENTILE.INC(D$3:D1000,0.6),3,D55&lt;_xlfn.PERCENTILE.INC(D$3:D1000,0.8),4,TRUE,5)</f>
        <v>4</v>
      </c>
      <c r="H55" s="4">
        <f t="shared" si="56"/>
        <v>4</v>
      </c>
      <c r="I55" s="4">
        <f t="shared" si="4"/>
        <v>10</v>
      </c>
      <c r="J55" s="7" t="str">
        <f t="shared" si="5"/>
        <v>2. Potentially Loyal</v>
      </c>
      <c r="M55" s="10"/>
      <c r="N55" s="2"/>
    </row>
    <row r="56">
      <c r="A56" s="4">
        <v>1053.0</v>
      </c>
      <c r="B56" s="1">
        <v>45761.0</v>
      </c>
      <c r="C56" s="4">
        <v>17.0</v>
      </c>
      <c r="D56" s="2">
        <v>5.0</v>
      </c>
      <c r="E56" s="3">
        <v>156.19</v>
      </c>
      <c r="F56" s="4">
        <f t="shared" si="2"/>
        <v>3</v>
      </c>
      <c r="G56" s="4">
        <f t="shared" ref="G56:H56" si="57">IFS(D56&lt;_xlfn.PERCENTILE.INC(D$3:D1000,0.2),1,D56&lt;_xlfn.PERCENTILE.INC(D$3:D1000,0.4),2,D56&lt;_xlfn.PERCENTILE.INC(D$3:D1000,0.6),3,D56&lt;_xlfn.PERCENTILE.INC(D$3:D1000,0.8),4,TRUE,5)</f>
        <v>4</v>
      </c>
      <c r="H56" s="4">
        <f t="shared" si="57"/>
        <v>2</v>
      </c>
      <c r="I56" s="4">
        <f t="shared" si="4"/>
        <v>9</v>
      </c>
      <c r="J56" s="7" t="str">
        <f t="shared" si="5"/>
        <v>3. Average</v>
      </c>
      <c r="M56" s="10"/>
      <c r="N56" s="2"/>
    </row>
    <row r="57">
      <c r="A57" s="4">
        <v>1054.0</v>
      </c>
      <c r="B57" s="1">
        <v>45739.0</v>
      </c>
      <c r="C57" s="4">
        <v>39.0</v>
      </c>
      <c r="D57" s="2">
        <v>5.0</v>
      </c>
      <c r="E57" s="3">
        <v>172.77999999999997</v>
      </c>
      <c r="F57" s="4">
        <f t="shared" si="2"/>
        <v>2</v>
      </c>
      <c r="G57" s="4">
        <f t="shared" ref="G57:H57" si="58">IFS(D57&lt;_xlfn.PERCENTILE.INC(D$3:D1000,0.2),1,D57&lt;_xlfn.PERCENTILE.INC(D$3:D1000,0.4),2,D57&lt;_xlfn.PERCENTILE.INC(D$3:D1000,0.6),3,D57&lt;_xlfn.PERCENTILE.INC(D$3:D1000,0.8),4,TRUE,5)</f>
        <v>4</v>
      </c>
      <c r="H57" s="4">
        <f t="shared" si="58"/>
        <v>2</v>
      </c>
      <c r="I57" s="4">
        <f t="shared" si="4"/>
        <v>8</v>
      </c>
      <c r="J57" s="7" t="str">
        <f t="shared" si="5"/>
        <v>3. Average</v>
      </c>
      <c r="M57" s="10"/>
      <c r="N57" s="2"/>
    </row>
    <row r="58">
      <c r="A58" s="4">
        <v>1055.0</v>
      </c>
      <c r="B58" s="1">
        <v>45778.0</v>
      </c>
      <c r="C58" s="4">
        <v>0.0</v>
      </c>
      <c r="D58" s="2">
        <v>3.0</v>
      </c>
      <c r="E58" s="3">
        <v>31.900000000000002</v>
      </c>
      <c r="F58" s="4">
        <f t="shared" si="2"/>
        <v>5</v>
      </c>
      <c r="G58" s="4">
        <f t="shared" ref="G58:H58" si="59">IFS(D58&lt;_xlfn.PERCENTILE.INC(D$3:D1000,0.2),1,D58&lt;_xlfn.PERCENTILE.INC(D$3:D1000,0.4),2,D58&lt;_xlfn.PERCENTILE.INC(D$3:D1000,0.6),3,D58&lt;_xlfn.PERCENTILE.INC(D$3:D1000,0.8),4,TRUE,5)</f>
        <v>2</v>
      </c>
      <c r="H58" s="4">
        <f t="shared" si="59"/>
        <v>1</v>
      </c>
      <c r="I58" s="4">
        <f t="shared" si="4"/>
        <v>8</v>
      </c>
      <c r="J58" s="7" t="str">
        <f t="shared" si="5"/>
        <v>3. Average</v>
      </c>
      <c r="M58" s="10"/>
      <c r="N58" s="2"/>
    </row>
    <row r="59">
      <c r="A59" s="4">
        <v>1056.0</v>
      </c>
      <c r="B59" s="1">
        <v>45756.0</v>
      </c>
      <c r="C59" s="4">
        <v>22.0</v>
      </c>
      <c r="D59" s="2">
        <v>7.0</v>
      </c>
      <c r="E59" s="3">
        <v>233.94</v>
      </c>
      <c r="F59" s="4">
        <f t="shared" si="2"/>
        <v>3</v>
      </c>
      <c r="G59" s="4">
        <f t="shared" ref="G59:H59" si="60">IFS(D59&lt;_xlfn.PERCENTILE.INC(D$3:D1000,0.2),1,D59&lt;_xlfn.PERCENTILE.INC(D$3:D1000,0.4),2,D59&lt;_xlfn.PERCENTILE.INC(D$3:D1000,0.6),3,D59&lt;_xlfn.PERCENTILE.INC(D$3:D1000,0.8),4,TRUE,5)</f>
        <v>5</v>
      </c>
      <c r="H59" s="4">
        <f t="shared" si="60"/>
        <v>3</v>
      </c>
      <c r="I59" s="4">
        <f t="shared" si="4"/>
        <v>11</v>
      </c>
      <c r="J59" s="7" t="str">
        <f t="shared" si="5"/>
        <v>2. Potentially Loyal</v>
      </c>
      <c r="M59" s="10"/>
      <c r="N59" s="2"/>
    </row>
    <row r="60">
      <c r="A60" s="4">
        <v>1057.0</v>
      </c>
      <c r="B60" s="1">
        <v>45753.0</v>
      </c>
      <c r="C60" s="4">
        <v>25.0</v>
      </c>
      <c r="D60" s="2">
        <v>9.0</v>
      </c>
      <c r="E60" s="3">
        <v>473.53</v>
      </c>
      <c r="F60" s="4">
        <f t="shared" si="2"/>
        <v>2</v>
      </c>
      <c r="G60" s="4">
        <f t="shared" ref="G60:H60" si="61">IFS(D60&lt;_xlfn.PERCENTILE.INC(D$3:D1000,0.2),1,D60&lt;_xlfn.PERCENTILE.INC(D$3:D1000,0.4),2,D60&lt;_xlfn.PERCENTILE.INC(D$3:D1000,0.6),3,D60&lt;_xlfn.PERCENTILE.INC(D$3:D1000,0.8),4,TRUE,5)</f>
        <v>5</v>
      </c>
      <c r="H60" s="4">
        <f t="shared" si="61"/>
        <v>5</v>
      </c>
      <c r="I60" s="4">
        <f t="shared" si="4"/>
        <v>12</v>
      </c>
      <c r="J60" s="7" t="str">
        <f t="shared" si="5"/>
        <v>2. Potentially Loyal</v>
      </c>
      <c r="M60" s="10"/>
      <c r="N60" s="2"/>
    </row>
    <row r="61">
      <c r="A61" s="4">
        <v>1058.0</v>
      </c>
      <c r="B61" s="1">
        <v>45777.0</v>
      </c>
      <c r="C61" s="4">
        <v>1.0</v>
      </c>
      <c r="D61" s="2">
        <v>4.0</v>
      </c>
      <c r="E61" s="3">
        <v>206.63</v>
      </c>
      <c r="F61" s="4">
        <f t="shared" si="2"/>
        <v>5</v>
      </c>
      <c r="G61" s="4">
        <f t="shared" ref="G61:H61" si="62">IFS(D61&lt;_xlfn.PERCENTILE.INC(D$3:D1000,0.2),1,D61&lt;_xlfn.PERCENTILE.INC(D$3:D1000,0.4),2,D61&lt;_xlfn.PERCENTILE.INC(D$3:D1000,0.6),3,D61&lt;_xlfn.PERCENTILE.INC(D$3:D1000,0.8),4,TRUE,5)</f>
        <v>3</v>
      </c>
      <c r="H61" s="4">
        <f t="shared" si="62"/>
        <v>3</v>
      </c>
      <c r="I61" s="4">
        <f t="shared" si="4"/>
        <v>11</v>
      </c>
      <c r="J61" s="7" t="str">
        <f t="shared" si="5"/>
        <v>2. Potentially Loyal</v>
      </c>
      <c r="M61" s="10"/>
      <c r="N61" s="2"/>
    </row>
    <row r="62">
      <c r="A62" s="4">
        <v>1059.0</v>
      </c>
      <c r="B62" s="1">
        <v>45752.0</v>
      </c>
      <c r="C62" s="4">
        <v>26.0</v>
      </c>
      <c r="D62" s="2">
        <v>2.0</v>
      </c>
      <c r="E62" s="3">
        <v>83.94</v>
      </c>
      <c r="F62" s="4">
        <f t="shared" si="2"/>
        <v>2</v>
      </c>
      <c r="G62" s="4">
        <f t="shared" ref="G62:H62" si="63">IFS(D62&lt;_xlfn.PERCENTILE.INC(D$3:D1000,0.2),1,D62&lt;_xlfn.PERCENTILE.INC(D$3:D1000,0.4),2,D62&lt;_xlfn.PERCENTILE.INC(D$3:D1000,0.6),3,D62&lt;_xlfn.PERCENTILE.INC(D$3:D1000,0.8),4,TRUE,5)</f>
        <v>1</v>
      </c>
      <c r="H62" s="4">
        <f t="shared" si="63"/>
        <v>1</v>
      </c>
      <c r="I62" s="4">
        <f t="shared" si="4"/>
        <v>4</v>
      </c>
      <c r="J62" s="7" t="str">
        <f t="shared" si="5"/>
        <v>4. Need Attention</v>
      </c>
      <c r="M62" s="10"/>
      <c r="N62" s="2"/>
    </row>
    <row r="63">
      <c r="A63" s="4">
        <v>1060.0</v>
      </c>
      <c r="B63" s="1">
        <v>45722.0</v>
      </c>
      <c r="C63" s="4">
        <v>56.0</v>
      </c>
      <c r="D63" s="2">
        <v>5.0</v>
      </c>
      <c r="E63" s="3">
        <v>300.15999999999997</v>
      </c>
      <c r="F63" s="4">
        <f t="shared" si="2"/>
        <v>1</v>
      </c>
      <c r="G63" s="4">
        <f t="shared" ref="G63:H63" si="64">IFS(D63&lt;_xlfn.PERCENTILE.INC(D$3:D1000,0.2),1,D63&lt;_xlfn.PERCENTILE.INC(D$3:D1000,0.4),2,D63&lt;_xlfn.PERCENTILE.INC(D$3:D1000,0.6),3,D63&lt;_xlfn.PERCENTILE.INC(D$3:D1000,0.8),4,TRUE,5)</f>
        <v>4</v>
      </c>
      <c r="H63" s="4">
        <f t="shared" si="64"/>
        <v>4</v>
      </c>
      <c r="I63" s="4">
        <f t="shared" si="4"/>
        <v>9</v>
      </c>
      <c r="J63" s="7" t="str">
        <f t="shared" si="5"/>
        <v>3. Average</v>
      </c>
      <c r="M63" s="10"/>
      <c r="N63" s="2"/>
    </row>
    <row r="64">
      <c r="A64" s="4">
        <v>1061.0</v>
      </c>
      <c r="B64" s="1">
        <v>45754.0</v>
      </c>
      <c r="C64" s="4">
        <v>24.0</v>
      </c>
      <c r="D64" s="2">
        <v>4.0</v>
      </c>
      <c r="E64" s="3">
        <v>137.84</v>
      </c>
      <c r="F64" s="4">
        <f t="shared" si="2"/>
        <v>2</v>
      </c>
      <c r="G64" s="4">
        <f t="shared" ref="G64:H64" si="65">IFS(D64&lt;_xlfn.PERCENTILE.INC(D$3:D1000,0.2),1,D64&lt;_xlfn.PERCENTILE.INC(D$3:D1000,0.4),2,D64&lt;_xlfn.PERCENTILE.INC(D$3:D1000,0.6),3,D64&lt;_xlfn.PERCENTILE.INC(D$3:D1000,0.8),4,TRUE,5)</f>
        <v>3</v>
      </c>
      <c r="H64" s="4">
        <f t="shared" si="65"/>
        <v>2</v>
      </c>
      <c r="I64" s="4">
        <f t="shared" si="4"/>
        <v>7</v>
      </c>
      <c r="J64" s="7" t="str">
        <f t="shared" si="5"/>
        <v>3. Average</v>
      </c>
      <c r="M64" s="10"/>
      <c r="N64" s="2"/>
    </row>
    <row r="65">
      <c r="A65" s="4">
        <v>1062.0</v>
      </c>
      <c r="B65" s="1">
        <v>45748.0</v>
      </c>
      <c r="C65" s="4">
        <v>30.0</v>
      </c>
      <c r="D65" s="2">
        <v>6.0</v>
      </c>
      <c r="E65" s="3">
        <v>333.83000000000004</v>
      </c>
      <c r="F65" s="4">
        <f t="shared" si="2"/>
        <v>2</v>
      </c>
      <c r="G65" s="4">
        <f t="shared" ref="G65:H65" si="66">IFS(D65&lt;_xlfn.PERCENTILE.INC(D$3:D1000,0.2),1,D65&lt;_xlfn.PERCENTILE.INC(D$3:D1000,0.4),2,D65&lt;_xlfn.PERCENTILE.INC(D$3:D1000,0.6),3,D65&lt;_xlfn.PERCENTILE.INC(D$3:D1000,0.8),4,TRUE,5)</f>
        <v>5</v>
      </c>
      <c r="H65" s="4">
        <f t="shared" si="66"/>
        <v>5</v>
      </c>
      <c r="I65" s="4">
        <f t="shared" si="4"/>
        <v>12</v>
      </c>
      <c r="J65" s="7" t="str">
        <f t="shared" si="5"/>
        <v>2. Potentially Loyal</v>
      </c>
      <c r="M65" s="10"/>
      <c r="N65" s="2"/>
    </row>
    <row r="66">
      <c r="A66" s="4">
        <v>1063.0</v>
      </c>
      <c r="B66" s="1">
        <v>45740.0</v>
      </c>
      <c r="C66" s="4">
        <v>38.0</v>
      </c>
      <c r="D66" s="2">
        <v>5.0</v>
      </c>
      <c r="E66" s="3">
        <v>227.42000000000002</v>
      </c>
      <c r="F66" s="4">
        <f t="shared" si="2"/>
        <v>2</v>
      </c>
      <c r="G66" s="4">
        <f t="shared" ref="G66:H66" si="67">IFS(D66&lt;_xlfn.PERCENTILE.INC(D$3:D1000,0.2),1,D66&lt;_xlfn.PERCENTILE.INC(D$3:D1000,0.4),2,D66&lt;_xlfn.PERCENTILE.INC(D$3:D1000,0.6),3,D66&lt;_xlfn.PERCENTILE.INC(D$3:D1000,0.8),4,TRUE,5)</f>
        <v>4</v>
      </c>
      <c r="H66" s="4">
        <f t="shared" si="67"/>
        <v>3</v>
      </c>
      <c r="I66" s="4">
        <f t="shared" si="4"/>
        <v>9</v>
      </c>
      <c r="J66" s="7" t="str">
        <f t="shared" si="5"/>
        <v>3. Average</v>
      </c>
      <c r="M66" s="10"/>
      <c r="N66" s="2"/>
    </row>
    <row r="67">
      <c r="A67" s="4">
        <v>1064.0</v>
      </c>
      <c r="B67" s="1">
        <v>45764.0</v>
      </c>
      <c r="C67" s="4">
        <v>14.0</v>
      </c>
      <c r="D67" s="2">
        <v>4.0</v>
      </c>
      <c r="E67" s="3">
        <v>115.98</v>
      </c>
      <c r="F67" s="4">
        <f t="shared" si="2"/>
        <v>3</v>
      </c>
      <c r="G67" s="4">
        <f t="shared" ref="G67:H67" si="68">IFS(D67&lt;_xlfn.PERCENTILE.INC(D$3:D1000,0.2),1,D67&lt;_xlfn.PERCENTILE.INC(D$3:D1000,0.4),2,D67&lt;_xlfn.PERCENTILE.INC(D$3:D1000,0.6),3,D67&lt;_xlfn.PERCENTILE.INC(D$3:D1000,0.8),4,TRUE,5)</f>
        <v>3</v>
      </c>
      <c r="H67" s="4">
        <f t="shared" si="68"/>
        <v>1</v>
      </c>
      <c r="I67" s="4">
        <f t="shared" si="4"/>
        <v>7</v>
      </c>
      <c r="J67" s="7" t="str">
        <f t="shared" si="5"/>
        <v>3. Average</v>
      </c>
      <c r="M67" s="10"/>
      <c r="N67" s="2"/>
    </row>
    <row r="68">
      <c r="A68" s="4">
        <v>1065.0</v>
      </c>
      <c r="B68" s="1">
        <v>45767.0</v>
      </c>
      <c r="C68" s="4">
        <v>11.0</v>
      </c>
      <c r="D68" s="2">
        <v>5.0</v>
      </c>
      <c r="E68" s="3">
        <v>310.39</v>
      </c>
      <c r="F68" s="4">
        <f t="shared" si="2"/>
        <v>4</v>
      </c>
      <c r="G68" s="4">
        <f t="shared" ref="G68:H68" si="69">IFS(D68&lt;_xlfn.PERCENTILE.INC(D$3:D1000,0.2),1,D68&lt;_xlfn.PERCENTILE.INC(D$3:D1000,0.4),2,D68&lt;_xlfn.PERCENTILE.INC(D$3:D1000,0.6),3,D68&lt;_xlfn.PERCENTILE.INC(D$3:D1000,0.8),4,TRUE,5)</f>
        <v>4</v>
      </c>
      <c r="H68" s="4">
        <f t="shared" si="69"/>
        <v>4</v>
      </c>
      <c r="I68" s="4">
        <f t="shared" si="4"/>
        <v>12</v>
      </c>
      <c r="J68" s="7" t="str">
        <f t="shared" si="5"/>
        <v>2. Potentially Loyal</v>
      </c>
      <c r="M68" s="10"/>
      <c r="N68" s="2"/>
    </row>
    <row r="69">
      <c r="A69" s="4">
        <v>1066.0</v>
      </c>
      <c r="B69" s="1">
        <v>45758.0</v>
      </c>
      <c r="C69" s="4">
        <v>20.0</v>
      </c>
      <c r="D69" s="2">
        <v>5.0</v>
      </c>
      <c r="E69" s="3">
        <v>211.26999999999998</v>
      </c>
      <c r="F69" s="4">
        <f t="shared" si="2"/>
        <v>3</v>
      </c>
      <c r="G69" s="4">
        <f t="shared" ref="G69:H69" si="70">IFS(D69&lt;_xlfn.PERCENTILE.INC(D$3:D1000,0.2),1,D69&lt;_xlfn.PERCENTILE.INC(D$3:D1000,0.4),2,D69&lt;_xlfn.PERCENTILE.INC(D$3:D1000,0.6),3,D69&lt;_xlfn.PERCENTILE.INC(D$3:D1000,0.8),4,TRUE,5)</f>
        <v>4</v>
      </c>
      <c r="H69" s="4">
        <f t="shared" si="70"/>
        <v>3</v>
      </c>
      <c r="I69" s="4">
        <f t="shared" si="4"/>
        <v>10</v>
      </c>
      <c r="J69" s="7" t="str">
        <f t="shared" si="5"/>
        <v>2. Potentially Loyal</v>
      </c>
      <c r="M69" s="10"/>
      <c r="N69" s="2"/>
    </row>
    <row r="70">
      <c r="A70" s="4">
        <v>1067.0</v>
      </c>
      <c r="B70" s="1">
        <v>45776.0</v>
      </c>
      <c r="C70" s="4">
        <v>2.0</v>
      </c>
      <c r="D70" s="2">
        <v>2.0</v>
      </c>
      <c r="E70" s="3">
        <v>93.50999999999999</v>
      </c>
      <c r="F70" s="4">
        <f t="shared" si="2"/>
        <v>5</v>
      </c>
      <c r="G70" s="4">
        <f t="shared" ref="G70:H70" si="71">IFS(D70&lt;_xlfn.PERCENTILE.INC(D$3:D1000,0.2),1,D70&lt;_xlfn.PERCENTILE.INC(D$3:D1000,0.4),2,D70&lt;_xlfn.PERCENTILE.INC(D$3:D1000,0.6),3,D70&lt;_xlfn.PERCENTILE.INC(D$3:D1000,0.8),4,TRUE,5)</f>
        <v>1</v>
      </c>
      <c r="H70" s="4">
        <f t="shared" si="71"/>
        <v>1</v>
      </c>
      <c r="I70" s="4">
        <f t="shared" si="4"/>
        <v>7</v>
      </c>
      <c r="J70" s="7" t="str">
        <f t="shared" si="5"/>
        <v>3. Average</v>
      </c>
      <c r="M70" s="10"/>
      <c r="N70" s="2"/>
    </row>
    <row r="71">
      <c r="A71" s="4">
        <v>1068.0</v>
      </c>
      <c r="B71" s="1">
        <v>45772.0</v>
      </c>
      <c r="C71" s="4">
        <v>6.0</v>
      </c>
      <c r="D71" s="2">
        <v>8.0</v>
      </c>
      <c r="E71" s="3">
        <v>354.76</v>
      </c>
      <c r="F71" s="4">
        <f t="shared" si="2"/>
        <v>5</v>
      </c>
      <c r="G71" s="4">
        <f t="shared" ref="G71:H71" si="72">IFS(D71&lt;_xlfn.PERCENTILE.INC(D$3:D1000,0.2),1,D71&lt;_xlfn.PERCENTILE.INC(D$3:D1000,0.4),2,D71&lt;_xlfn.PERCENTILE.INC(D$3:D1000,0.6),3,D71&lt;_xlfn.PERCENTILE.INC(D$3:D1000,0.8),4,TRUE,5)</f>
        <v>5</v>
      </c>
      <c r="H71" s="4">
        <f t="shared" si="72"/>
        <v>5</v>
      </c>
      <c r="I71" s="4">
        <f t="shared" si="4"/>
        <v>15</v>
      </c>
      <c r="J71" s="7" t="str">
        <f t="shared" si="5"/>
        <v>1. Loyal</v>
      </c>
      <c r="M71" s="10"/>
      <c r="N71" s="2"/>
    </row>
    <row r="72">
      <c r="A72" s="4">
        <v>1069.0</v>
      </c>
      <c r="B72" s="1">
        <v>45762.0</v>
      </c>
      <c r="C72" s="4">
        <v>16.0</v>
      </c>
      <c r="D72" s="2">
        <v>5.0</v>
      </c>
      <c r="E72" s="3">
        <v>153.13</v>
      </c>
      <c r="F72" s="4">
        <f t="shared" si="2"/>
        <v>3</v>
      </c>
      <c r="G72" s="4">
        <f t="shared" ref="G72:H72" si="73">IFS(D72&lt;_xlfn.PERCENTILE.INC(D$3:D1000,0.2),1,D72&lt;_xlfn.PERCENTILE.INC(D$3:D1000,0.4),2,D72&lt;_xlfn.PERCENTILE.INC(D$3:D1000,0.6),3,D72&lt;_xlfn.PERCENTILE.INC(D$3:D1000,0.8),4,TRUE,5)</f>
        <v>4</v>
      </c>
      <c r="H72" s="4">
        <f t="shared" si="73"/>
        <v>2</v>
      </c>
      <c r="I72" s="4">
        <f t="shared" si="4"/>
        <v>9</v>
      </c>
      <c r="J72" s="7" t="str">
        <f t="shared" si="5"/>
        <v>3. Average</v>
      </c>
      <c r="M72" s="10"/>
      <c r="N72" s="2"/>
    </row>
    <row r="73">
      <c r="A73" s="4">
        <v>1070.0</v>
      </c>
      <c r="B73" s="1">
        <v>45764.0</v>
      </c>
      <c r="C73" s="4">
        <v>14.0</v>
      </c>
      <c r="D73" s="2">
        <v>7.0</v>
      </c>
      <c r="E73" s="3">
        <v>515.55</v>
      </c>
      <c r="F73" s="4">
        <f t="shared" si="2"/>
        <v>3</v>
      </c>
      <c r="G73" s="4">
        <f t="shared" ref="G73:H73" si="74">IFS(D73&lt;_xlfn.PERCENTILE.INC(D$3:D1000,0.2),1,D73&lt;_xlfn.PERCENTILE.INC(D$3:D1000,0.4),2,D73&lt;_xlfn.PERCENTILE.INC(D$3:D1000,0.6),3,D73&lt;_xlfn.PERCENTILE.INC(D$3:D1000,0.8),4,TRUE,5)</f>
        <v>5</v>
      </c>
      <c r="H73" s="4">
        <f t="shared" si="74"/>
        <v>5</v>
      </c>
      <c r="I73" s="4">
        <f t="shared" si="4"/>
        <v>13</v>
      </c>
      <c r="J73" s="7" t="str">
        <f t="shared" si="5"/>
        <v>1. Loyal</v>
      </c>
      <c r="M73" s="10"/>
      <c r="N73" s="2"/>
    </row>
    <row r="74">
      <c r="A74" s="4">
        <v>1071.0</v>
      </c>
      <c r="B74" s="1">
        <v>45753.0</v>
      </c>
      <c r="C74" s="4">
        <v>25.0</v>
      </c>
      <c r="D74" s="2">
        <v>6.0</v>
      </c>
      <c r="E74" s="3">
        <v>396.95</v>
      </c>
      <c r="F74" s="4">
        <f t="shared" si="2"/>
        <v>2</v>
      </c>
      <c r="G74" s="4">
        <f t="shared" ref="G74:H74" si="75">IFS(D74&lt;_xlfn.PERCENTILE.INC(D$3:D1000,0.2),1,D74&lt;_xlfn.PERCENTILE.INC(D$3:D1000,0.4),2,D74&lt;_xlfn.PERCENTILE.INC(D$3:D1000,0.6),3,D74&lt;_xlfn.PERCENTILE.INC(D$3:D1000,0.8),4,TRUE,5)</f>
        <v>5</v>
      </c>
      <c r="H74" s="4">
        <f t="shared" si="75"/>
        <v>5</v>
      </c>
      <c r="I74" s="4">
        <f t="shared" si="4"/>
        <v>12</v>
      </c>
      <c r="J74" s="7" t="str">
        <f t="shared" si="5"/>
        <v>2. Potentially Loyal</v>
      </c>
      <c r="M74" s="10"/>
      <c r="N74" s="2"/>
    </row>
    <row r="75">
      <c r="A75" s="4">
        <v>1072.0</v>
      </c>
      <c r="B75" s="1">
        <v>45778.0</v>
      </c>
      <c r="C75" s="4">
        <v>0.0</v>
      </c>
      <c r="D75" s="2">
        <v>5.0</v>
      </c>
      <c r="E75" s="3">
        <v>249.88</v>
      </c>
      <c r="F75" s="4">
        <f t="shared" si="2"/>
        <v>5</v>
      </c>
      <c r="G75" s="4">
        <f t="shared" ref="G75:H75" si="76">IFS(D75&lt;_xlfn.PERCENTILE.INC(D$3:D1000,0.2),1,D75&lt;_xlfn.PERCENTILE.INC(D$3:D1000,0.4),2,D75&lt;_xlfn.PERCENTILE.INC(D$3:D1000,0.6),3,D75&lt;_xlfn.PERCENTILE.INC(D$3:D1000,0.8),4,TRUE,5)</f>
        <v>4</v>
      </c>
      <c r="H75" s="4">
        <f t="shared" si="76"/>
        <v>3</v>
      </c>
      <c r="I75" s="4">
        <f t="shared" si="4"/>
        <v>12</v>
      </c>
      <c r="J75" s="7" t="str">
        <f t="shared" si="5"/>
        <v>2. Potentially Loyal</v>
      </c>
      <c r="M75" s="10"/>
      <c r="N75" s="2"/>
    </row>
    <row r="76">
      <c r="A76" s="4">
        <v>1073.0</v>
      </c>
      <c r="B76" s="1">
        <v>45734.0</v>
      </c>
      <c r="C76" s="4">
        <v>44.0</v>
      </c>
      <c r="D76" s="2">
        <v>6.0</v>
      </c>
      <c r="E76" s="3">
        <v>252.05</v>
      </c>
      <c r="F76" s="4">
        <f t="shared" si="2"/>
        <v>1</v>
      </c>
      <c r="G76" s="4">
        <f t="shared" ref="G76:H76" si="77">IFS(D76&lt;_xlfn.PERCENTILE.INC(D$3:D1000,0.2),1,D76&lt;_xlfn.PERCENTILE.INC(D$3:D1000,0.4),2,D76&lt;_xlfn.PERCENTILE.INC(D$3:D1000,0.6),3,D76&lt;_xlfn.PERCENTILE.INC(D$3:D1000,0.8),4,TRUE,5)</f>
        <v>5</v>
      </c>
      <c r="H76" s="4">
        <f t="shared" si="77"/>
        <v>3</v>
      </c>
      <c r="I76" s="4">
        <f t="shared" si="4"/>
        <v>9</v>
      </c>
      <c r="J76" s="7" t="str">
        <f t="shared" si="5"/>
        <v>3. Average</v>
      </c>
      <c r="M76" s="10"/>
      <c r="N76" s="2"/>
    </row>
    <row r="77">
      <c r="A77" s="4">
        <v>1074.0</v>
      </c>
      <c r="B77" s="1">
        <v>45759.0</v>
      </c>
      <c r="C77" s="4">
        <v>19.0</v>
      </c>
      <c r="D77" s="2">
        <v>4.0</v>
      </c>
      <c r="E77" s="3">
        <v>175.62</v>
      </c>
      <c r="F77" s="4">
        <f t="shared" si="2"/>
        <v>3</v>
      </c>
      <c r="G77" s="4">
        <f t="shared" ref="G77:H77" si="78">IFS(D77&lt;_xlfn.PERCENTILE.INC(D$3:D1000,0.2),1,D77&lt;_xlfn.PERCENTILE.INC(D$3:D1000,0.4),2,D77&lt;_xlfn.PERCENTILE.INC(D$3:D1000,0.6),3,D77&lt;_xlfn.PERCENTILE.INC(D$3:D1000,0.8),4,TRUE,5)</f>
        <v>3</v>
      </c>
      <c r="H77" s="4">
        <f t="shared" si="78"/>
        <v>2</v>
      </c>
      <c r="I77" s="4">
        <f t="shared" si="4"/>
        <v>8</v>
      </c>
      <c r="J77" s="7" t="str">
        <f t="shared" si="5"/>
        <v>3. Average</v>
      </c>
      <c r="M77" s="10"/>
      <c r="N77" s="2"/>
    </row>
    <row r="78">
      <c r="A78" s="4">
        <v>1075.0</v>
      </c>
      <c r="B78" s="1">
        <v>45744.0</v>
      </c>
      <c r="C78" s="4">
        <v>34.0</v>
      </c>
      <c r="D78" s="2">
        <v>4.0</v>
      </c>
      <c r="E78" s="3">
        <v>233.38</v>
      </c>
      <c r="F78" s="4">
        <f t="shared" si="2"/>
        <v>2</v>
      </c>
      <c r="G78" s="4">
        <f t="shared" ref="G78:H78" si="79">IFS(D78&lt;_xlfn.PERCENTILE.INC(D$3:D1000,0.2),1,D78&lt;_xlfn.PERCENTILE.INC(D$3:D1000,0.4),2,D78&lt;_xlfn.PERCENTILE.INC(D$3:D1000,0.6),3,D78&lt;_xlfn.PERCENTILE.INC(D$3:D1000,0.8),4,TRUE,5)</f>
        <v>3</v>
      </c>
      <c r="H78" s="4">
        <f t="shared" si="79"/>
        <v>3</v>
      </c>
      <c r="I78" s="4">
        <f t="shared" si="4"/>
        <v>8</v>
      </c>
      <c r="J78" s="7" t="str">
        <f t="shared" si="5"/>
        <v>3. Average</v>
      </c>
      <c r="M78" s="10"/>
      <c r="N78" s="2"/>
    </row>
    <row r="79">
      <c r="A79" s="4">
        <v>1076.0</v>
      </c>
      <c r="B79" s="1">
        <v>45774.0</v>
      </c>
      <c r="C79" s="4">
        <v>4.0</v>
      </c>
      <c r="D79" s="2">
        <v>5.0</v>
      </c>
      <c r="E79" s="3">
        <v>191.46</v>
      </c>
      <c r="F79" s="4">
        <f t="shared" si="2"/>
        <v>5</v>
      </c>
      <c r="G79" s="4">
        <f t="shared" ref="G79:H79" si="80">IFS(D79&lt;_xlfn.PERCENTILE.INC(D$3:D1000,0.2),1,D79&lt;_xlfn.PERCENTILE.INC(D$3:D1000,0.4),2,D79&lt;_xlfn.PERCENTILE.INC(D$3:D1000,0.6),3,D79&lt;_xlfn.PERCENTILE.INC(D$3:D1000,0.8),4,TRUE,5)</f>
        <v>4</v>
      </c>
      <c r="H79" s="4">
        <f t="shared" si="80"/>
        <v>2</v>
      </c>
      <c r="I79" s="4">
        <f t="shared" si="4"/>
        <v>11</v>
      </c>
      <c r="J79" s="7" t="str">
        <f t="shared" si="5"/>
        <v>2. Potentially Loyal</v>
      </c>
      <c r="M79" s="10"/>
      <c r="N79" s="2"/>
    </row>
    <row r="80">
      <c r="A80" s="4">
        <v>1077.0</v>
      </c>
      <c r="B80" s="1">
        <v>45737.0</v>
      </c>
      <c r="C80" s="4">
        <v>41.0</v>
      </c>
      <c r="D80" s="2">
        <v>1.0</v>
      </c>
      <c r="E80" s="3">
        <v>71.45</v>
      </c>
      <c r="F80" s="4">
        <f t="shared" si="2"/>
        <v>1</v>
      </c>
      <c r="G80" s="4">
        <f t="shared" ref="G80:H80" si="81">IFS(D80&lt;_xlfn.PERCENTILE.INC(D$3:D1000,0.2),1,D80&lt;_xlfn.PERCENTILE.INC(D$3:D1000,0.4),2,D80&lt;_xlfn.PERCENTILE.INC(D$3:D1000,0.6),3,D80&lt;_xlfn.PERCENTILE.INC(D$3:D1000,0.8),4,TRUE,5)</f>
        <v>1</v>
      </c>
      <c r="H80" s="4">
        <f t="shared" si="81"/>
        <v>1</v>
      </c>
      <c r="I80" s="4">
        <f t="shared" si="4"/>
        <v>3</v>
      </c>
      <c r="J80" s="7" t="str">
        <f t="shared" si="5"/>
        <v>5. At Risk</v>
      </c>
      <c r="M80" s="10"/>
      <c r="N80" s="2"/>
    </row>
    <row r="81">
      <c r="A81" s="4">
        <v>1078.0</v>
      </c>
      <c r="B81" s="1">
        <v>45753.0</v>
      </c>
      <c r="C81" s="4">
        <v>25.0</v>
      </c>
      <c r="D81" s="2">
        <v>7.0</v>
      </c>
      <c r="E81" s="3">
        <v>456.93999999999994</v>
      </c>
      <c r="F81" s="4">
        <f t="shared" si="2"/>
        <v>2</v>
      </c>
      <c r="G81" s="4">
        <f t="shared" ref="G81:H81" si="82">IFS(D81&lt;_xlfn.PERCENTILE.INC(D$3:D1000,0.2),1,D81&lt;_xlfn.PERCENTILE.INC(D$3:D1000,0.4),2,D81&lt;_xlfn.PERCENTILE.INC(D$3:D1000,0.6),3,D81&lt;_xlfn.PERCENTILE.INC(D$3:D1000,0.8),4,TRUE,5)</f>
        <v>5</v>
      </c>
      <c r="H81" s="4">
        <f t="shared" si="82"/>
        <v>5</v>
      </c>
      <c r="I81" s="4">
        <f t="shared" si="4"/>
        <v>12</v>
      </c>
      <c r="J81" s="7" t="str">
        <f t="shared" si="5"/>
        <v>2. Potentially Loyal</v>
      </c>
      <c r="M81" s="10"/>
      <c r="N81" s="2"/>
    </row>
    <row r="82">
      <c r="A82" s="4">
        <v>1079.0</v>
      </c>
      <c r="B82" s="1">
        <v>45777.0</v>
      </c>
      <c r="C82" s="4">
        <v>1.0</v>
      </c>
      <c r="D82" s="2">
        <v>7.0</v>
      </c>
      <c r="E82" s="3">
        <v>223.48000000000002</v>
      </c>
      <c r="F82" s="4">
        <f t="shared" si="2"/>
        <v>5</v>
      </c>
      <c r="G82" s="4">
        <f t="shared" ref="G82:H82" si="83">IFS(D82&lt;_xlfn.PERCENTILE.INC(D$3:D1000,0.2),1,D82&lt;_xlfn.PERCENTILE.INC(D$3:D1000,0.4),2,D82&lt;_xlfn.PERCENTILE.INC(D$3:D1000,0.6),3,D82&lt;_xlfn.PERCENTILE.INC(D$3:D1000,0.8),4,TRUE,5)</f>
        <v>5</v>
      </c>
      <c r="H82" s="4">
        <f t="shared" si="83"/>
        <v>3</v>
      </c>
      <c r="I82" s="4">
        <f t="shared" si="4"/>
        <v>13</v>
      </c>
      <c r="J82" s="7" t="str">
        <f t="shared" si="5"/>
        <v>1. Loyal</v>
      </c>
      <c r="M82" s="10"/>
      <c r="N82" s="2"/>
    </row>
    <row r="83">
      <c r="A83" s="4">
        <v>1080.0</v>
      </c>
      <c r="B83" s="1">
        <v>45771.0</v>
      </c>
      <c r="C83" s="4">
        <v>7.0</v>
      </c>
      <c r="D83" s="2">
        <v>2.0</v>
      </c>
      <c r="E83" s="3">
        <v>49.83</v>
      </c>
      <c r="F83" s="4">
        <f t="shared" si="2"/>
        <v>4</v>
      </c>
      <c r="G83" s="4">
        <f t="shared" ref="G83:H83" si="84">IFS(D83&lt;_xlfn.PERCENTILE.INC(D$3:D1000,0.2),1,D83&lt;_xlfn.PERCENTILE.INC(D$3:D1000,0.4),2,D83&lt;_xlfn.PERCENTILE.INC(D$3:D1000,0.6),3,D83&lt;_xlfn.PERCENTILE.INC(D$3:D1000,0.8),4,TRUE,5)</f>
        <v>1</v>
      </c>
      <c r="H83" s="4">
        <f t="shared" si="84"/>
        <v>1</v>
      </c>
      <c r="I83" s="4">
        <f t="shared" si="4"/>
        <v>6</v>
      </c>
      <c r="J83" s="7" t="str">
        <f t="shared" si="5"/>
        <v>4. Need Attention</v>
      </c>
      <c r="M83" s="10"/>
      <c r="N83" s="2"/>
    </row>
    <row r="84">
      <c r="A84" s="4">
        <v>1081.0</v>
      </c>
      <c r="B84" s="1">
        <v>45762.0</v>
      </c>
      <c r="C84" s="4">
        <v>16.0</v>
      </c>
      <c r="D84" s="2">
        <v>3.0</v>
      </c>
      <c r="E84" s="3">
        <v>94.44</v>
      </c>
      <c r="F84" s="4">
        <f t="shared" si="2"/>
        <v>3</v>
      </c>
      <c r="G84" s="4">
        <f t="shared" ref="G84:H84" si="85">IFS(D84&lt;_xlfn.PERCENTILE.INC(D$3:D1000,0.2),1,D84&lt;_xlfn.PERCENTILE.INC(D$3:D1000,0.4),2,D84&lt;_xlfn.PERCENTILE.INC(D$3:D1000,0.6),3,D84&lt;_xlfn.PERCENTILE.INC(D$3:D1000,0.8),4,TRUE,5)</f>
        <v>2</v>
      </c>
      <c r="H84" s="4">
        <f t="shared" si="85"/>
        <v>1</v>
      </c>
      <c r="I84" s="4">
        <f t="shared" si="4"/>
        <v>6</v>
      </c>
      <c r="J84" s="7" t="str">
        <f t="shared" si="5"/>
        <v>4. Need Attention</v>
      </c>
      <c r="M84" s="10"/>
      <c r="N84" s="2"/>
    </row>
    <row r="85">
      <c r="A85" s="4">
        <v>1082.0</v>
      </c>
      <c r="B85" s="1">
        <v>45736.0</v>
      </c>
      <c r="C85" s="4">
        <v>42.0</v>
      </c>
      <c r="D85" s="2">
        <v>6.0</v>
      </c>
      <c r="E85" s="3">
        <v>258.61</v>
      </c>
      <c r="F85" s="4">
        <f t="shared" si="2"/>
        <v>1</v>
      </c>
      <c r="G85" s="4">
        <f t="shared" ref="G85:H85" si="86">IFS(D85&lt;_xlfn.PERCENTILE.INC(D$3:D1000,0.2),1,D85&lt;_xlfn.PERCENTILE.INC(D$3:D1000,0.4),2,D85&lt;_xlfn.PERCENTILE.INC(D$3:D1000,0.6),3,D85&lt;_xlfn.PERCENTILE.INC(D$3:D1000,0.8),4,TRUE,5)</f>
        <v>5</v>
      </c>
      <c r="H85" s="4">
        <f t="shared" si="86"/>
        <v>3</v>
      </c>
      <c r="I85" s="4">
        <f t="shared" si="4"/>
        <v>9</v>
      </c>
      <c r="J85" s="7" t="str">
        <f t="shared" si="5"/>
        <v>3. Average</v>
      </c>
      <c r="M85" s="10"/>
      <c r="N85" s="2"/>
    </row>
    <row r="86">
      <c r="A86" s="4">
        <v>1083.0</v>
      </c>
      <c r="B86" s="1">
        <v>45777.0</v>
      </c>
      <c r="C86" s="4">
        <v>1.0</v>
      </c>
      <c r="D86" s="2">
        <v>8.0</v>
      </c>
      <c r="E86" s="3">
        <v>238.06</v>
      </c>
      <c r="F86" s="4">
        <f t="shared" si="2"/>
        <v>5</v>
      </c>
      <c r="G86" s="4">
        <f t="shared" ref="G86:H86" si="87">IFS(D86&lt;_xlfn.PERCENTILE.INC(D$3:D1000,0.2),1,D86&lt;_xlfn.PERCENTILE.INC(D$3:D1000,0.4),2,D86&lt;_xlfn.PERCENTILE.INC(D$3:D1000,0.6),3,D86&lt;_xlfn.PERCENTILE.INC(D$3:D1000,0.8),4,TRUE,5)</f>
        <v>5</v>
      </c>
      <c r="H86" s="4">
        <f t="shared" si="87"/>
        <v>3</v>
      </c>
      <c r="I86" s="4">
        <f t="shared" si="4"/>
        <v>13</v>
      </c>
      <c r="J86" s="7" t="str">
        <f t="shared" si="5"/>
        <v>1. Loyal</v>
      </c>
      <c r="M86" s="10"/>
      <c r="N86" s="2"/>
    </row>
    <row r="87">
      <c r="A87" s="4">
        <v>1084.0</v>
      </c>
      <c r="B87" s="1">
        <v>45752.0</v>
      </c>
      <c r="C87" s="4">
        <v>26.0</v>
      </c>
      <c r="D87" s="2">
        <v>4.0</v>
      </c>
      <c r="E87" s="3">
        <v>257.02</v>
      </c>
      <c r="F87" s="4">
        <f t="shared" si="2"/>
        <v>2</v>
      </c>
      <c r="G87" s="4">
        <f t="shared" ref="G87:H87" si="88">IFS(D87&lt;_xlfn.PERCENTILE.INC(D$3:D1000,0.2),1,D87&lt;_xlfn.PERCENTILE.INC(D$3:D1000,0.4),2,D87&lt;_xlfn.PERCENTILE.INC(D$3:D1000,0.6),3,D87&lt;_xlfn.PERCENTILE.INC(D$3:D1000,0.8),4,TRUE,5)</f>
        <v>3</v>
      </c>
      <c r="H87" s="4">
        <f t="shared" si="88"/>
        <v>3</v>
      </c>
      <c r="I87" s="4">
        <f t="shared" si="4"/>
        <v>8</v>
      </c>
      <c r="J87" s="7" t="str">
        <f t="shared" si="5"/>
        <v>3. Average</v>
      </c>
      <c r="M87" s="10"/>
      <c r="N87" s="2"/>
    </row>
    <row r="88">
      <c r="A88" s="4">
        <v>1085.0</v>
      </c>
      <c r="B88" s="1">
        <v>45772.0</v>
      </c>
      <c r="C88" s="4">
        <v>6.0</v>
      </c>
      <c r="D88" s="2">
        <v>8.0</v>
      </c>
      <c r="E88" s="3">
        <v>369.28999999999996</v>
      </c>
      <c r="F88" s="4">
        <f t="shared" si="2"/>
        <v>5</v>
      </c>
      <c r="G88" s="4">
        <f t="shared" ref="G88:H88" si="89">IFS(D88&lt;_xlfn.PERCENTILE.INC(D$3:D1000,0.2),1,D88&lt;_xlfn.PERCENTILE.INC(D$3:D1000,0.4),2,D88&lt;_xlfn.PERCENTILE.INC(D$3:D1000,0.6),3,D88&lt;_xlfn.PERCENTILE.INC(D$3:D1000,0.8),4,TRUE,5)</f>
        <v>5</v>
      </c>
      <c r="H88" s="4">
        <f t="shared" si="89"/>
        <v>5</v>
      </c>
      <c r="I88" s="4">
        <f t="shared" si="4"/>
        <v>15</v>
      </c>
      <c r="J88" s="7" t="str">
        <f t="shared" si="5"/>
        <v>1. Loyal</v>
      </c>
      <c r="M88" s="10"/>
      <c r="N88" s="2"/>
    </row>
    <row r="89">
      <c r="A89" s="4">
        <v>1086.0</v>
      </c>
      <c r="B89" s="1">
        <v>45770.0</v>
      </c>
      <c r="C89" s="4">
        <v>8.0</v>
      </c>
      <c r="D89" s="2">
        <v>5.0</v>
      </c>
      <c r="E89" s="3">
        <v>259.66</v>
      </c>
      <c r="F89" s="4">
        <f t="shared" si="2"/>
        <v>4</v>
      </c>
      <c r="G89" s="4">
        <f t="shared" ref="G89:H89" si="90">IFS(D89&lt;_xlfn.PERCENTILE.INC(D$3:D1000,0.2),1,D89&lt;_xlfn.PERCENTILE.INC(D$3:D1000,0.4),2,D89&lt;_xlfn.PERCENTILE.INC(D$3:D1000,0.6),3,D89&lt;_xlfn.PERCENTILE.INC(D$3:D1000,0.8),4,TRUE,5)</f>
        <v>4</v>
      </c>
      <c r="H89" s="4">
        <f t="shared" si="90"/>
        <v>4</v>
      </c>
      <c r="I89" s="4">
        <f t="shared" si="4"/>
        <v>12</v>
      </c>
      <c r="J89" s="7" t="str">
        <f t="shared" si="5"/>
        <v>2. Potentially Loyal</v>
      </c>
      <c r="M89" s="10"/>
      <c r="N89" s="2"/>
    </row>
    <row r="90">
      <c r="A90" s="4">
        <v>1087.0</v>
      </c>
      <c r="B90" s="1">
        <v>45775.0</v>
      </c>
      <c r="C90" s="4">
        <v>3.0</v>
      </c>
      <c r="D90" s="2">
        <v>8.0</v>
      </c>
      <c r="E90" s="3">
        <v>304.62</v>
      </c>
      <c r="F90" s="4">
        <f t="shared" si="2"/>
        <v>5</v>
      </c>
      <c r="G90" s="4">
        <f t="shared" ref="G90:H90" si="91">IFS(D90&lt;_xlfn.PERCENTILE.INC(D$3:D1000,0.2),1,D90&lt;_xlfn.PERCENTILE.INC(D$3:D1000,0.4),2,D90&lt;_xlfn.PERCENTILE.INC(D$3:D1000,0.6),3,D90&lt;_xlfn.PERCENTILE.INC(D$3:D1000,0.8),4,TRUE,5)</f>
        <v>5</v>
      </c>
      <c r="H90" s="4">
        <f t="shared" si="91"/>
        <v>4</v>
      </c>
      <c r="I90" s="4">
        <f t="shared" si="4"/>
        <v>14</v>
      </c>
      <c r="J90" s="7" t="str">
        <f t="shared" si="5"/>
        <v>1. Loyal</v>
      </c>
      <c r="M90" s="10"/>
      <c r="N90" s="2"/>
    </row>
    <row r="91">
      <c r="A91" s="4">
        <v>1088.0</v>
      </c>
      <c r="B91" s="1">
        <v>45738.0</v>
      </c>
      <c r="C91" s="4">
        <v>40.0</v>
      </c>
      <c r="D91" s="2">
        <v>3.0</v>
      </c>
      <c r="E91" s="3">
        <v>149.04</v>
      </c>
      <c r="F91" s="4">
        <f t="shared" si="2"/>
        <v>1</v>
      </c>
      <c r="G91" s="4">
        <f t="shared" ref="G91:H91" si="92">IFS(D91&lt;_xlfn.PERCENTILE.INC(D$3:D1000,0.2),1,D91&lt;_xlfn.PERCENTILE.INC(D$3:D1000,0.4),2,D91&lt;_xlfn.PERCENTILE.INC(D$3:D1000,0.6),3,D91&lt;_xlfn.PERCENTILE.INC(D$3:D1000,0.8),4,TRUE,5)</f>
        <v>2</v>
      </c>
      <c r="H91" s="4">
        <f t="shared" si="92"/>
        <v>2</v>
      </c>
      <c r="I91" s="4">
        <f t="shared" si="4"/>
        <v>5</v>
      </c>
      <c r="J91" s="7" t="str">
        <f t="shared" si="5"/>
        <v>4. Need Attention</v>
      </c>
      <c r="M91" s="10"/>
      <c r="N91" s="2"/>
    </row>
    <row r="92">
      <c r="A92" s="4">
        <v>1089.0</v>
      </c>
      <c r="B92" s="1">
        <v>45767.0</v>
      </c>
      <c r="C92" s="4">
        <v>11.0</v>
      </c>
      <c r="D92" s="2">
        <v>5.0</v>
      </c>
      <c r="E92" s="3">
        <v>291.37</v>
      </c>
      <c r="F92" s="4">
        <f t="shared" si="2"/>
        <v>4</v>
      </c>
      <c r="G92" s="4">
        <f t="shared" ref="G92:H92" si="93">IFS(D92&lt;_xlfn.PERCENTILE.INC(D$3:D1000,0.2),1,D92&lt;_xlfn.PERCENTILE.INC(D$3:D1000,0.4),2,D92&lt;_xlfn.PERCENTILE.INC(D$3:D1000,0.6),3,D92&lt;_xlfn.PERCENTILE.INC(D$3:D1000,0.8),4,TRUE,5)</f>
        <v>4</v>
      </c>
      <c r="H92" s="4">
        <f t="shared" si="93"/>
        <v>4</v>
      </c>
      <c r="I92" s="4">
        <f t="shared" si="4"/>
        <v>12</v>
      </c>
      <c r="J92" s="7" t="str">
        <f t="shared" si="5"/>
        <v>2. Potentially Loyal</v>
      </c>
      <c r="M92" s="10"/>
      <c r="N92" s="2"/>
    </row>
    <row r="93">
      <c r="A93" s="4">
        <v>1090.0</v>
      </c>
      <c r="B93" s="1">
        <v>45745.0</v>
      </c>
      <c r="C93" s="4">
        <v>33.0</v>
      </c>
      <c r="D93" s="2">
        <v>3.0</v>
      </c>
      <c r="E93" s="3">
        <v>110.55</v>
      </c>
      <c r="F93" s="4">
        <f t="shared" si="2"/>
        <v>2</v>
      </c>
      <c r="G93" s="4">
        <f t="shared" ref="G93:H93" si="94">IFS(D93&lt;_xlfn.PERCENTILE.INC(D$3:D1000,0.2),1,D93&lt;_xlfn.PERCENTILE.INC(D$3:D1000,0.4),2,D93&lt;_xlfn.PERCENTILE.INC(D$3:D1000,0.6),3,D93&lt;_xlfn.PERCENTILE.INC(D$3:D1000,0.8),4,TRUE,5)</f>
        <v>2</v>
      </c>
      <c r="H93" s="4">
        <f t="shared" si="94"/>
        <v>1</v>
      </c>
      <c r="I93" s="4">
        <f t="shared" si="4"/>
        <v>5</v>
      </c>
      <c r="J93" s="7" t="str">
        <f t="shared" si="5"/>
        <v>4. Need Attention</v>
      </c>
      <c r="M93" s="10"/>
      <c r="N93" s="2"/>
    </row>
    <row r="94">
      <c r="A94" s="4">
        <v>1091.0</v>
      </c>
      <c r="B94" s="1">
        <v>45762.0</v>
      </c>
      <c r="C94" s="4">
        <v>16.0</v>
      </c>
      <c r="D94" s="2">
        <v>1.0</v>
      </c>
      <c r="E94" s="3">
        <v>87.28</v>
      </c>
      <c r="F94" s="4">
        <f t="shared" si="2"/>
        <v>3</v>
      </c>
      <c r="G94" s="4">
        <f t="shared" ref="G94:H94" si="95">IFS(D94&lt;_xlfn.PERCENTILE.INC(D$3:D1000,0.2),1,D94&lt;_xlfn.PERCENTILE.INC(D$3:D1000,0.4),2,D94&lt;_xlfn.PERCENTILE.INC(D$3:D1000,0.6),3,D94&lt;_xlfn.PERCENTILE.INC(D$3:D1000,0.8),4,TRUE,5)</f>
        <v>1</v>
      </c>
      <c r="H94" s="4">
        <f t="shared" si="95"/>
        <v>1</v>
      </c>
      <c r="I94" s="4">
        <f t="shared" si="4"/>
        <v>5</v>
      </c>
      <c r="J94" s="7" t="str">
        <f t="shared" si="5"/>
        <v>4. Need Attention</v>
      </c>
      <c r="M94" s="10"/>
      <c r="N94" s="2"/>
    </row>
    <row r="95">
      <c r="A95" s="4">
        <v>1092.0</v>
      </c>
      <c r="B95" s="1">
        <v>45776.0</v>
      </c>
      <c r="C95" s="4">
        <v>2.0</v>
      </c>
      <c r="D95" s="2">
        <v>7.0</v>
      </c>
      <c r="E95" s="3">
        <v>204.1</v>
      </c>
      <c r="F95" s="4">
        <f t="shared" si="2"/>
        <v>5</v>
      </c>
      <c r="G95" s="4">
        <f t="shared" ref="G95:H95" si="96">IFS(D95&lt;_xlfn.PERCENTILE.INC(D$3:D1000,0.2),1,D95&lt;_xlfn.PERCENTILE.INC(D$3:D1000,0.4),2,D95&lt;_xlfn.PERCENTILE.INC(D$3:D1000,0.6),3,D95&lt;_xlfn.PERCENTILE.INC(D$3:D1000,0.8),4,TRUE,5)</f>
        <v>5</v>
      </c>
      <c r="H95" s="4">
        <f t="shared" si="96"/>
        <v>3</v>
      </c>
      <c r="I95" s="4">
        <f t="shared" si="4"/>
        <v>13</v>
      </c>
      <c r="J95" s="7" t="str">
        <f t="shared" si="5"/>
        <v>1. Loyal</v>
      </c>
      <c r="M95" s="10"/>
      <c r="N95" s="2"/>
    </row>
    <row r="96">
      <c r="A96" s="4">
        <v>1093.0</v>
      </c>
      <c r="B96" s="1">
        <v>45766.0</v>
      </c>
      <c r="C96" s="4">
        <v>12.0</v>
      </c>
      <c r="D96" s="2">
        <v>5.0</v>
      </c>
      <c r="E96" s="3">
        <v>305.17999999999995</v>
      </c>
      <c r="F96" s="4">
        <f t="shared" si="2"/>
        <v>4</v>
      </c>
      <c r="G96" s="4">
        <f t="shared" ref="G96:H96" si="97">IFS(D96&lt;_xlfn.PERCENTILE.INC(D$3:D1000,0.2),1,D96&lt;_xlfn.PERCENTILE.INC(D$3:D1000,0.4),2,D96&lt;_xlfn.PERCENTILE.INC(D$3:D1000,0.6),3,D96&lt;_xlfn.PERCENTILE.INC(D$3:D1000,0.8),4,TRUE,5)</f>
        <v>4</v>
      </c>
      <c r="H96" s="4">
        <f t="shared" si="97"/>
        <v>4</v>
      </c>
      <c r="I96" s="4">
        <f t="shared" si="4"/>
        <v>12</v>
      </c>
      <c r="J96" s="7" t="str">
        <f t="shared" si="5"/>
        <v>2. Potentially Loyal</v>
      </c>
      <c r="M96" s="10"/>
      <c r="N96" s="2"/>
    </row>
    <row r="97">
      <c r="A97" s="4">
        <v>1094.0</v>
      </c>
      <c r="B97" s="1">
        <v>45695.0</v>
      </c>
      <c r="C97" s="4">
        <v>83.0</v>
      </c>
      <c r="D97" s="2">
        <v>4.0</v>
      </c>
      <c r="E97" s="3">
        <v>185.04000000000002</v>
      </c>
      <c r="F97" s="4">
        <f t="shared" si="2"/>
        <v>1</v>
      </c>
      <c r="G97" s="4">
        <f t="shared" ref="G97:H97" si="98">IFS(D97&lt;_xlfn.PERCENTILE.INC(D$3:D1000,0.2),1,D97&lt;_xlfn.PERCENTILE.INC(D$3:D1000,0.4),2,D97&lt;_xlfn.PERCENTILE.INC(D$3:D1000,0.6),3,D97&lt;_xlfn.PERCENTILE.INC(D$3:D1000,0.8),4,TRUE,5)</f>
        <v>3</v>
      </c>
      <c r="H97" s="4">
        <f t="shared" si="98"/>
        <v>2</v>
      </c>
      <c r="I97" s="4">
        <f t="shared" si="4"/>
        <v>6</v>
      </c>
      <c r="J97" s="7" t="str">
        <f t="shared" si="5"/>
        <v>4. Need Attention</v>
      </c>
      <c r="M97" s="10"/>
      <c r="N97" s="2"/>
    </row>
    <row r="98">
      <c r="A98" s="4">
        <v>1095.0</v>
      </c>
      <c r="B98" s="1">
        <v>45730.0</v>
      </c>
      <c r="C98" s="4">
        <v>48.0</v>
      </c>
      <c r="D98" s="2">
        <v>6.0</v>
      </c>
      <c r="E98" s="3">
        <v>286.71999999999997</v>
      </c>
      <c r="F98" s="4">
        <f t="shared" si="2"/>
        <v>1</v>
      </c>
      <c r="G98" s="4">
        <f t="shared" ref="G98:H98" si="99">IFS(D98&lt;_xlfn.PERCENTILE.INC(D$3:D1000,0.2),1,D98&lt;_xlfn.PERCENTILE.INC(D$3:D1000,0.4),2,D98&lt;_xlfn.PERCENTILE.INC(D$3:D1000,0.6),3,D98&lt;_xlfn.PERCENTILE.INC(D$3:D1000,0.8),4,TRUE,5)</f>
        <v>5</v>
      </c>
      <c r="H98" s="4">
        <f t="shared" si="99"/>
        <v>4</v>
      </c>
      <c r="I98" s="4">
        <f t="shared" si="4"/>
        <v>10</v>
      </c>
      <c r="J98" s="7" t="str">
        <f t="shared" si="5"/>
        <v>2. Potentially Loyal</v>
      </c>
      <c r="M98" s="10"/>
      <c r="N98" s="2"/>
    </row>
    <row r="99">
      <c r="A99" s="4">
        <v>1096.0</v>
      </c>
      <c r="B99" s="1">
        <v>45763.0</v>
      </c>
      <c r="C99" s="4">
        <v>15.0</v>
      </c>
      <c r="D99" s="2">
        <v>6.0</v>
      </c>
      <c r="E99" s="3">
        <v>204.74</v>
      </c>
      <c r="F99" s="4">
        <f t="shared" si="2"/>
        <v>3</v>
      </c>
      <c r="G99" s="4">
        <f t="shared" ref="G99:H99" si="100">IFS(D99&lt;_xlfn.PERCENTILE.INC(D$3:D1000,0.2),1,D99&lt;_xlfn.PERCENTILE.INC(D$3:D1000,0.4),2,D99&lt;_xlfn.PERCENTILE.INC(D$3:D1000,0.6),3,D99&lt;_xlfn.PERCENTILE.INC(D$3:D1000,0.8),4,TRUE,5)</f>
        <v>5</v>
      </c>
      <c r="H99" s="4">
        <f t="shared" si="100"/>
        <v>3</v>
      </c>
      <c r="I99" s="4">
        <f t="shared" si="4"/>
        <v>11</v>
      </c>
      <c r="J99" s="7" t="str">
        <f t="shared" si="5"/>
        <v>2. Potentially Loyal</v>
      </c>
      <c r="M99" s="10"/>
      <c r="N99" s="2"/>
    </row>
    <row r="100">
      <c r="A100" s="4">
        <v>1097.0</v>
      </c>
      <c r="B100" s="1">
        <v>45757.0</v>
      </c>
      <c r="C100" s="4">
        <v>21.0</v>
      </c>
      <c r="D100" s="2">
        <v>6.0</v>
      </c>
      <c r="E100" s="3">
        <v>426.96</v>
      </c>
      <c r="F100" s="4">
        <f t="shared" si="2"/>
        <v>3</v>
      </c>
      <c r="G100" s="4">
        <f t="shared" ref="G100:H100" si="101">IFS(D100&lt;_xlfn.PERCENTILE.INC(D$3:D1000,0.2),1,D100&lt;_xlfn.PERCENTILE.INC(D$3:D1000,0.4),2,D100&lt;_xlfn.PERCENTILE.INC(D$3:D1000,0.6),3,D100&lt;_xlfn.PERCENTILE.INC(D$3:D1000,0.8),4,TRUE,5)</f>
        <v>5</v>
      </c>
      <c r="H100" s="4">
        <f t="shared" si="101"/>
        <v>5</v>
      </c>
      <c r="I100" s="4">
        <f t="shared" si="4"/>
        <v>13</v>
      </c>
      <c r="J100" s="7" t="str">
        <f t="shared" si="5"/>
        <v>1. Loyal</v>
      </c>
      <c r="M100" s="10"/>
      <c r="N100" s="2"/>
    </row>
    <row r="101">
      <c r="A101" s="4">
        <v>1098.0</v>
      </c>
      <c r="B101" s="1">
        <v>45762.0</v>
      </c>
      <c r="C101" s="4">
        <v>16.0</v>
      </c>
      <c r="D101" s="2">
        <v>7.0</v>
      </c>
      <c r="E101" s="3">
        <v>431.87999999999994</v>
      </c>
      <c r="F101" s="4">
        <f t="shared" si="2"/>
        <v>3</v>
      </c>
      <c r="G101" s="4">
        <f t="shared" ref="G101:H101" si="102">IFS(D101&lt;_xlfn.PERCENTILE.INC(D$3:D1000,0.2),1,D101&lt;_xlfn.PERCENTILE.INC(D$3:D1000,0.4),2,D101&lt;_xlfn.PERCENTILE.INC(D$3:D1000,0.6),3,D101&lt;_xlfn.PERCENTILE.INC(D$3:D1000,0.8),4,TRUE,5)</f>
        <v>5</v>
      </c>
      <c r="H101" s="4">
        <f t="shared" si="102"/>
        <v>5</v>
      </c>
      <c r="I101" s="4">
        <f t="shared" si="4"/>
        <v>13</v>
      </c>
      <c r="J101" s="7" t="str">
        <f t="shared" si="5"/>
        <v>1. Loyal</v>
      </c>
      <c r="M101" s="10"/>
      <c r="N101" s="2"/>
    </row>
    <row r="102">
      <c r="A102" s="4">
        <v>1099.0</v>
      </c>
      <c r="B102" s="1">
        <v>45738.0</v>
      </c>
      <c r="C102" s="4">
        <v>40.0</v>
      </c>
      <c r="D102" s="2">
        <v>4.0</v>
      </c>
      <c r="E102" s="3">
        <v>264.87</v>
      </c>
      <c r="F102" s="4">
        <f t="shared" si="2"/>
        <v>1</v>
      </c>
      <c r="G102" s="4">
        <f t="shared" ref="G102:H102" si="103">IFS(D102&lt;_xlfn.PERCENTILE.INC(D$3:D1000,0.2),1,D102&lt;_xlfn.PERCENTILE.INC(D$3:D1000,0.4),2,D102&lt;_xlfn.PERCENTILE.INC(D$3:D1000,0.6),3,D102&lt;_xlfn.PERCENTILE.INC(D$3:D1000,0.8),4,TRUE,5)</f>
        <v>3</v>
      </c>
      <c r="H102" s="4">
        <f t="shared" si="103"/>
        <v>4</v>
      </c>
      <c r="I102" s="4">
        <f t="shared" si="4"/>
        <v>8</v>
      </c>
      <c r="J102" s="7" t="str">
        <f t="shared" si="5"/>
        <v>3. Average</v>
      </c>
      <c r="M102" s="10"/>
      <c r="N102" s="2"/>
    </row>
    <row r="103">
      <c r="A103" s="4">
        <v>1100.0</v>
      </c>
      <c r="B103" s="1">
        <v>45770.0</v>
      </c>
      <c r="C103" s="4">
        <v>8.0</v>
      </c>
      <c r="D103" s="2">
        <v>6.0</v>
      </c>
      <c r="E103" s="3">
        <v>311.89</v>
      </c>
      <c r="F103" s="4">
        <f t="shared" si="2"/>
        <v>4</v>
      </c>
      <c r="G103" s="4">
        <f t="shared" ref="G103:H103" si="104">IFS(D103&lt;_xlfn.PERCENTILE.INC(D$3:D1000,0.2),1,D103&lt;_xlfn.PERCENTILE.INC(D$3:D1000,0.4),2,D103&lt;_xlfn.PERCENTILE.INC(D$3:D1000,0.6),3,D103&lt;_xlfn.PERCENTILE.INC(D$3:D1000,0.8),4,TRUE,5)</f>
        <v>5</v>
      </c>
      <c r="H103" s="4">
        <f t="shared" si="104"/>
        <v>4</v>
      </c>
      <c r="I103" s="4">
        <f t="shared" si="4"/>
        <v>13</v>
      </c>
      <c r="J103" s="11" t="str">
        <f t="shared" si="5"/>
        <v>1. Loyal</v>
      </c>
      <c r="M103" s="10"/>
      <c r="N103" s="2"/>
    </row>
    <row r="104">
      <c r="B104" s="1"/>
      <c r="D104" s="2"/>
      <c r="E104" s="3"/>
    </row>
    <row r="105">
      <c r="B105" s="1"/>
      <c r="D105" s="2"/>
      <c r="E105" s="3"/>
    </row>
    <row r="106">
      <c r="B106" s="1"/>
      <c r="D106" s="2"/>
      <c r="E106" s="3"/>
    </row>
    <row r="107">
      <c r="B107" s="1"/>
      <c r="D107" s="2"/>
      <c r="E107" s="3"/>
    </row>
    <row r="108">
      <c r="B108" s="1"/>
      <c r="D108" s="2"/>
      <c r="E108" s="3"/>
    </row>
    <row r="109">
      <c r="B109" s="1"/>
      <c r="D109" s="2"/>
      <c r="E109" s="3"/>
    </row>
    <row r="110">
      <c r="B110" s="1"/>
      <c r="D110" s="2"/>
      <c r="E110" s="3"/>
    </row>
    <row r="111">
      <c r="B111" s="1"/>
      <c r="D111" s="2"/>
      <c r="E111" s="3"/>
    </row>
    <row r="112">
      <c r="B112" s="1"/>
      <c r="D112" s="2"/>
      <c r="E112" s="3"/>
    </row>
    <row r="113">
      <c r="B113" s="1"/>
      <c r="D113" s="2"/>
      <c r="E113" s="3"/>
    </row>
    <row r="114">
      <c r="B114" s="1"/>
      <c r="D114" s="2"/>
      <c r="E114" s="3"/>
    </row>
    <row r="115">
      <c r="B115" s="1"/>
      <c r="D115" s="2"/>
      <c r="E115" s="3"/>
    </row>
    <row r="116">
      <c r="B116" s="1"/>
      <c r="D116" s="2"/>
      <c r="E116" s="3"/>
    </row>
    <row r="117">
      <c r="B117" s="1"/>
      <c r="D117" s="2"/>
      <c r="E117" s="3"/>
    </row>
    <row r="118">
      <c r="B118" s="1"/>
      <c r="D118" s="2"/>
      <c r="E118" s="3"/>
    </row>
    <row r="119">
      <c r="B119" s="1"/>
      <c r="D119" s="2"/>
      <c r="E119" s="3"/>
    </row>
    <row r="120">
      <c r="B120" s="1"/>
      <c r="D120" s="2"/>
      <c r="E120" s="3"/>
    </row>
    <row r="121">
      <c r="B121" s="1"/>
      <c r="D121" s="2"/>
      <c r="E121" s="3"/>
    </row>
    <row r="122">
      <c r="B122" s="1"/>
      <c r="D122" s="2"/>
      <c r="E122" s="3"/>
    </row>
    <row r="123">
      <c r="B123" s="1"/>
      <c r="D123" s="2"/>
      <c r="E123" s="3"/>
    </row>
    <row r="124">
      <c r="B124" s="1"/>
      <c r="D124" s="2"/>
      <c r="E124" s="3"/>
    </row>
    <row r="125">
      <c r="B125" s="1"/>
      <c r="D125" s="2"/>
      <c r="E125" s="3"/>
    </row>
    <row r="126">
      <c r="B126" s="1"/>
      <c r="D126" s="2"/>
      <c r="E126" s="3"/>
    </row>
    <row r="127">
      <c r="B127" s="1"/>
      <c r="D127" s="2"/>
      <c r="E127" s="3"/>
    </row>
    <row r="128">
      <c r="B128" s="1"/>
      <c r="D128" s="2"/>
      <c r="E128" s="3"/>
    </row>
    <row r="129">
      <c r="B129" s="1"/>
      <c r="D129" s="2"/>
      <c r="E129" s="3"/>
    </row>
    <row r="130">
      <c r="B130" s="1"/>
      <c r="D130" s="2"/>
      <c r="E130" s="3"/>
    </row>
    <row r="131">
      <c r="B131" s="1"/>
      <c r="D131" s="2"/>
      <c r="E131" s="3"/>
    </row>
    <row r="132">
      <c r="B132" s="1"/>
      <c r="D132" s="2"/>
      <c r="E132" s="3"/>
    </row>
    <row r="133">
      <c r="B133" s="1"/>
      <c r="D133" s="2"/>
      <c r="E133" s="3"/>
    </row>
    <row r="134">
      <c r="B134" s="1"/>
      <c r="D134" s="2"/>
      <c r="E134" s="3"/>
    </row>
    <row r="135">
      <c r="B135" s="1"/>
      <c r="D135" s="2"/>
      <c r="E135" s="3"/>
    </row>
    <row r="136">
      <c r="B136" s="1"/>
      <c r="D136" s="2"/>
      <c r="E136" s="3"/>
    </row>
    <row r="137">
      <c r="B137" s="1"/>
      <c r="D137" s="2"/>
      <c r="E137" s="3"/>
    </row>
    <row r="138">
      <c r="B138" s="1"/>
      <c r="D138" s="2"/>
      <c r="E138" s="3"/>
    </row>
    <row r="139">
      <c r="B139" s="1"/>
      <c r="D139" s="2"/>
      <c r="E139" s="3"/>
    </row>
    <row r="140">
      <c r="B140" s="1"/>
      <c r="D140" s="2"/>
      <c r="E140" s="3"/>
    </row>
    <row r="141">
      <c r="B141" s="1"/>
      <c r="D141" s="2"/>
      <c r="E141" s="3"/>
    </row>
    <row r="142">
      <c r="B142" s="1"/>
      <c r="D142" s="2"/>
      <c r="E142" s="3"/>
    </row>
    <row r="143">
      <c r="B143" s="1"/>
      <c r="D143" s="2"/>
      <c r="E143" s="3"/>
    </row>
    <row r="144">
      <c r="B144" s="1"/>
      <c r="D144" s="2"/>
      <c r="E144" s="3"/>
    </row>
    <row r="145">
      <c r="B145" s="1"/>
      <c r="D145" s="2"/>
      <c r="E145" s="3"/>
    </row>
    <row r="146">
      <c r="B146" s="1"/>
      <c r="D146" s="2"/>
      <c r="E146" s="3"/>
    </row>
    <row r="147">
      <c r="B147" s="1"/>
      <c r="D147" s="2"/>
      <c r="E147" s="3"/>
    </row>
    <row r="148">
      <c r="B148" s="1"/>
      <c r="D148" s="2"/>
      <c r="E148" s="3"/>
    </row>
    <row r="149">
      <c r="B149" s="1"/>
      <c r="D149" s="2"/>
      <c r="E149" s="3"/>
    </row>
    <row r="150">
      <c r="B150" s="1"/>
      <c r="D150" s="2"/>
      <c r="E150" s="3"/>
    </row>
    <row r="151">
      <c r="B151" s="1"/>
      <c r="D151" s="2"/>
      <c r="E151" s="3"/>
    </row>
    <row r="152">
      <c r="B152" s="1"/>
      <c r="D152" s="2"/>
      <c r="E152" s="3"/>
    </row>
    <row r="153">
      <c r="B153" s="1"/>
      <c r="D153" s="2"/>
      <c r="E153" s="3"/>
    </row>
    <row r="154">
      <c r="B154" s="1"/>
      <c r="D154" s="2"/>
      <c r="E154" s="3"/>
    </row>
    <row r="155">
      <c r="B155" s="1"/>
      <c r="D155" s="2"/>
      <c r="E155" s="3"/>
    </row>
    <row r="156">
      <c r="B156" s="1"/>
      <c r="D156" s="2"/>
      <c r="E156" s="3"/>
    </row>
    <row r="157">
      <c r="B157" s="1"/>
      <c r="D157" s="2"/>
      <c r="E157" s="3"/>
    </row>
    <row r="158">
      <c r="B158" s="1"/>
      <c r="D158" s="2"/>
      <c r="E158" s="3"/>
    </row>
    <row r="159">
      <c r="B159" s="1"/>
      <c r="D159" s="2"/>
      <c r="E159" s="3"/>
    </row>
    <row r="160">
      <c r="B160" s="1"/>
      <c r="D160" s="2"/>
      <c r="E160" s="3"/>
    </row>
    <row r="161">
      <c r="B161" s="1"/>
      <c r="D161" s="2"/>
      <c r="E161" s="3"/>
    </row>
    <row r="162">
      <c r="B162" s="1"/>
      <c r="D162" s="2"/>
      <c r="E162" s="3"/>
    </row>
    <row r="163">
      <c r="B163" s="1"/>
      <c r="D163" s="2"/>
      <c r="E163" s="3"/>
    </row>
    <row r="164">
      <c r="B164" s="1"/>
      <c r="D164" s="2"/>
      <c r="E164" s="3"/>
    </row>
    <row r="165">
      <c r="B165" s="1"/>
      <c r="D165" s="2"/>
      <c r="E165" s="3"/>
    </row>
    <row r="166">
      <c r="B166" s="1"/>
      <c r="D166" s="2"/>
      <c r="E166" s="3"/>
    </row>
    <row r="167">
      <c r="B167" s="1"/>
      <c r="D167" s="2"/>
      <c r="E167" s="3"/>
    </row>
    <row r="168">
      <c r="B168" s="1"/>
      <c r="D168" s="2"/>
      <c r="E168" s="3"/>
    </row>
    <row r="169">
      <c r="B169" s="1"/>
      <c r="D169" s="2"/>
      <c r="E169" s="3"/>
    </row>
    <row r="170">
      <c r="B170" s="1"/>
      <c r="D170" s="2"/>
      <c r="E170" s="3"/>
    </row>
    <row r="171">
      <c r="B171" s="1"/>
      <c r="D171" s="2"/>
      <c r="E171" s="3"/>
    </row>
    <row r="172">
      <c r="B172" s="1"/>
      <c r="D172" s="2"/>
      <c r="E172" s="3"/>
    </row>
    <row r="173">
      <c r="B173" s="1"/>
      <c r="D173" s="2"/>
      <c r="E173" s="3"/>
    </row>
    <row r="174">
      <c r="B174" s="1"/>
      <c r="D174" s="2"/>
      <c r="E174" s="3"/>
    </row>
    <row r="175">
      <c r="B175" s="1"/>
      <c r="D175" s="2"/>
      <c r="E175" s="3"/>
    </row>
    <row r="176">
      <c r="B176" s="1"/>
      <c r="D176" s="2"/>
      <c r="E176" s="3"/>
    </row>
    <row r="177">
      <c r="B177" s="1"/>
      <c r="D177" s="2"/>
      <c r="E177" s="3"/>
    </row>
    <row r="178">
      <c r="B178" s="1"/>
      <c r="D178" s="2"/>
      <c r="E178" s="3"/>
    </row>
    <row r="179">
      <c r="B179" s="1"/>
      <c r="D179" s="2"/>
      <c r="E179" s="3"/>
    </row>
    <row r="180">
      <c r="B180" s="1"/>
      <c r="D180" s="2"/>
      <c r="E180" s="3"/>
    </row>
    <row r="181">
      <c r="B181" s="1"/>
      <c r="D181" s="2"/>
      <c r="E181" s="3"/>
    </row>
    <row r="182">
      <c r="B182" s="1"/>
      <c r="D182" s="2"/>
      <c r="E182" s="3"/>
    </row>
    <row r="183">
      <c r="B183" s="1"/>
      <c r="D183" s="2"/>
      <c r="E183" s="3"/>
    </row>
    <row r="184">
      <c r="B184" s="1"/>
      <c r="D184" s="2"/>
      <c r="E184" s="3"/>
    </row>
    <row r="185">
      <c r="B185" s="1"/>
      <c r="D185" s="2"/>
      <c r="E185" s="3"/>
    </row>
    <row r="186">
      <c r="B186" s="1"/>
      <c r="D186" s="2"/>
      <c r="E186" s="3"/>
    </row>
    <row r="187">
      <c r="B187" s="1"/>
      <c r="D187" s="2"/>
      <c r="E187" s="3"/>
    </row>
    <row r="188">
      <c r="B188" s="1"/>
      <c r="D188" s="2"/>
      <c r="E188" s="3"/>
    </row>
    <row r="189">
      <c r="B189" s="1"/>
      <c r="D189" s="2"/>
      <c r="E189" s="3"/>
    </row>
    <row r="190">
      <c r="B190" s="1"/>
      <c r="D190" s="2"/>
      <c r="E190" s="3"/>
    </row>
    <row r="191">
      <c r="B191" s="1"/>
      <c r="D191" s="2"/>
      <c r="E191" s="3"/>
    </row>
    <row r="192">
      <c r="B192" s="1"/>
      <c r="D192" s="2"/>
      <c r="E192" s="3"/>
    </row>
    <row r="193">
      <c r="B193" s="1"/>
      <c r="D193" s="2"/>
      <c r="E193" s="3"/>
    </row>
    <row r="194">
      <c r="B194" s="1"/>
      <c r="D194" s="2"/>
      <c r="E194" s="3"/>
    </row>
    <row r="195">
      <c r="B195" s="1"/>
      <c r="D195" s="2"/>
      <c r="E195" s="3"/>
    </row>
    <row r="196">
      <c r="B196" s="1"/>
      <c r="D196" s="2"/>
      <c r="E196" s="3"/>
    </row>
    <row r="197">
      <c r="B197" s="1"/>
      <c r="D197" s="2"/>
      <c r="E197" s="3"/>
    </row>
    <row r="198">
      <c r="B198" s="1"/>
      <c r="D198" s="2"/>
      <c r="E198" s="3"/>
    </row>
    <row r="199">
      <c r="B199" s="1"/>
      <c r="D199" s="2"/>
      <c r="E199" s="3"/>
    </row>
    <row r="200">
      <c r="B200" s="1"/>
      <c r="D200" s="2"/>
      <c r="E200" s="3"/>
    </row>
    <row r="201">
      <c r="B201" s="1"/>
      <c r="D201" s="2"/>
      <c r="E201" s="3"/>
    </row>
    <row r="202">
      <c r="B202" s="1"/>
      <c r="D202" s="2"/>
      <c r="E202" s="3"/>
    </row>
    <row r="203">
      <c r="B203" s="1"/>
      <c r="D203" s="2"/>
      <c r="E203" s="3"/>
    </row>
    <row r="204">
      <c r="B204" s="1"/>
      <c r="D204" s="2"/>
      <c r="E204" s="3"/>
    </row>
    <row r="205">
      <c r="B205" s="1"/>
      <c r="D205" s="2"/>
      <c r="E205" s="3"/>
    </row>
    <row r="206">
      <c r="B206" s="1"/>
      <c r="D206" s="2"/>
      <c r="E206" s="3"/>
    </row>
    <row r="207">
      <c r="B207" s="1"/>
      <c r="D207" s="2"/>
      <c r="E207" s="3"/>
    </row>
    <row r="208">
      <c r="B208" s="1"/>
      <c r="D208" s="2"/>
      <c r="E208" s="3"/>
    </row>
    <row r="209">
      <c r="B209" s="1"/>
      <c r="D209" s="2"/>
      <c r="E209" s="3"/>
    </row>
    <row r="210">
      <c r="B210" s="1"/>
      <c r="D210" s="2"/>
      <c r="E210" s="3"/>
    </row>
    <row r="211">
      <c r="B211" s="1"/>
      <c r="D211" s="2"/>
      <c r="E211" s="3"/>
    </row>
    <row r="212">
      <c r="B212" s="1"/>
      <c r="D212" s="2"/>
      <c r="E212" s="3"/>
    </row>
    <row r="213">
      <c r="B213" s="1"/>
      <c r="D213" s="2"/>
      <c r="E213" s="3"/>
    </row>
    <row r="214">
      <c r="B214" s="1"/>
      <c r="D214" s="2"/>
      <c r="E214" s="3"/>
    </row>
    <row r="215">
      <c r="B215" s="1"/>
      <c r="D215" s="2"/>
      <c r="E215" s="3"/>
    </row>
    <row r="216">
      <c r="B216" s="1"/>
      <c r="D216" s="2"/>
      <c r="E216" s="3"/>
    </row>
    <row r="217">
      <c r="B217" s="1"/>
      <c r="D217" s="2"/>
      <c r="E217" s="3"/>
    </row>
    <row r="218">
      <c r="B218" s="1"/>
      <c r="D218" s="2"/>
      <c r="E218" s="3"/>
    </row>
    <row r="219">
      <c r="B219" s="1"/>
      <c r="D219" s="2"/>
      <c r="E219" s="3"/>
    </row>
    <row r="220">
      <c r="B220" s="1"/>
      <c r="D220" s="2"/>
      <c r="E220" s="3"/>
    </row>
    <row r="221">
      <c r="B221" s="1"/>
      <c r="D221" s="2"/>
      <c r="E221" s="3"/>
    </row>
    <row r="222">
      <c r="B222" s="1"/>
      <c r="D222" s="2"/>
      <c r="E222" s="3"/>
    </row>
    <row r="223">
      <c r="B223" s="1"/>
      <c r="D223" s="2"/>
      <c r="E223" s="3"/>
    </row>
    <row r="224">
      <c r="B224" s="1"/>
      <c r="D224" s="2"/>
      <c r="E224" s="3"/>
    </row>
    <row r="225">
      <c r="B225" s="1"/>
      <c r="D225" s="2"/>
      <c r="E225" s="3"/>
    </row>
    <row r="226">
      <c r="B226" s="1"/>
      <c r="D226" s="2"/>
      <c r="E226" s="3"/>
    </row>
    <row r="227">
      <c r="B227" s="1"/>
      <c r="D227" s="2"/>
      <c r="E227" s="3"/>
    </row>
    <row r="228">
      <c r="B228" s="1"/>
      <c r="D228" s="2"/>
      <c r="E228" s="3"/>
    </row>
    <row r="229">
      <c r="B229" s="1"/>
      <c r="D229" s="2"/>
      <c r="E229" s="3"/>
    </row>
    <row r="230">
      <c r="B230" s="1"/>
      <c r="D230" s="2"/>
      <c r="E230" s="3"/>
    </row>
    <row r="231">
      <c r="B231" s="1"/>
      <c r="D231" s="2"/>
      <c r="E231" s="3"/>
    </row>
    <row r="232">
      <c r="B232" s="1"/>
      <c r="D232" s="2"/>
      <c r="E232" s="3"/>
    </row>
    <row r="233">
      <c r="B233" s="1"/>
      <c r="D233" s="2"/>
      <c r="E233" s="3"/>
    </row>
    <row r="234">
      <c r="B234" s="1"/>
      <c r="D234" s="2"/>
      <c r="E234" s="3"/>
    </row>
    <row r="235">
      <c r="B235" s="1"/>
      <c r="D235" s="2"/>
      <c r="E235" s="3"/>
    </row>
    <row r="236">
      <c r="B236" s="1"/>
      <c r="D236" s="2"/>
      <c r="E236" s="3"/>
    </row>
    <row r="237">
      <c r="B237" s="1"/>
      <c r="D237" s="2"/>
      <c r="E237" s="3"/>
    </row>
    <row r="238">
      <c r="B238" s="1"/>
      <c r="D238" s="2"/>
      <c r="E238" s="3"/>
    </row>
    <row r="239">
      <c r="B239" s="1"/>
      <c r="D239" s="2"/>
      <c r="E239" s="3"/>
    </row>
    <row r="240">
      <c r="B240" s="1"/>
      <c r="D240" s="2"/>
      <c r="E240" s="3"/>
    </row>
    <row r="241">
      <c r="B241" s="1"/>
      <c r="D241" s="2"/>
      <c r="E241" s="3"/>
    </row>
    <row r="242">
      <c r="B242" s="1"/>
      <c r="D242" s="2"/>
      <c r="E242" s="3"/>
    </row>
    <row r="243">
      <c r="B243" s="1"/>
      <c r="D243" s="2"/>
      <c r="E243" s="3"/>
    </row>
    <row r="244">
      <c r="B244" s="1"/>
      <c r="D244" s="2"/>
      <c r="E244" s="3"/>
    </row>
    <row r="245">
      <c r="B245" s="1"/>
      <c r="D245" s="2"/>
      <c r="E245" s="3"/>
    </row>
    <row r="246">
      <c r="B246" s="1"/>
      <c r="D246" s="2"/>
      <c r="E246" s="3"/>
    </row>
    <row r="247">
      <c r="B247" s="1"/>
      <c r="D247" s="2"/>
      <c r="E247" s="3"/>
    </row>
    <row r="248">
      <c r="B248" s="1"/>
      <c r="D248" s="2"/>
      <c r="E248" s="3"/>
    </row>
    <row r="249">
      <c r="B249" s="1"/>
      <c r="D249" s="2"/>
      <c r="E249" s="3"/>
    </row>
    <row r="250">
      <c r="B250" s="1"/>
      <c r="D250" s="2"/>
      <c r="E250" s="3"/>
    </row>
    <row r="251">
      <c r="B251" s="1"/>
      <c r="D251" s="2"/>
      <c r="E251" s="3"/>
    </row>
    <row r="252">
      <c r="B252" s="1"/>
      <c r="D252" s="2"/>
      <c r="E252" s="3"/>
    </row>
    <row r="253">
      <c r="B253" s="1"/>
      <c r="D253" s="2"/>
      <c r="E253" s="3"/>
    </row>
    <row r="254">
      <c r="B254" s="1"/>
      <c r="D254" s="2"/>
      <c r="E254" s="3"/>
    </row>
    <row r="255">
      <c r="B255" s="1"/>
      <c r="D255" s="2"/>
      <c r="E255" s="3"/>
    </row>
    <row r="256">
      <c r="B256" s="1"/>
      <c r="D256" s="2"/>
      <c r="E256" s="3"/>
    </row>
    <row r="257">
      <c r="B257" s="1"/>
      <c r="D257" s="2"/>
      <c r="E257" s="3"/>
    </row>
    <row r="258">
      <c r="B258" s="1"/>
      <c r="D258" s="2"/>
      <c r="E258" s="3"/>
    </row>
    <row r="259">
      <c r="B259" s="1"/>
      <c r="D259" s="2"/>
      <c r="E259" s="3"/>
    </row>
    <row r="260">
      <c r="B260" s="1"/>
      <c r="D260" s="2"/>
      <c r="E260" s="3"/>
    </row>
    <row r="261">
      <c r="B261" s="1"/>
      <c r="D261" s="2"/>
      <c r="E261" s="3"/>
    </row>
    <row r="262">
      <c r="B262" s="1"/>
      <c r="D262" s="2"/>
      <c r="E262" s="3"/>
    </row>
    <row r="263">
      <c r="B263" s="1"/>
      <c r="D263" s="2"/>
      <c r="E263" s="3"/>
    </row>
    <row r="264">
      <c r="B264" s="1"/>
      <c r="D264" s="2"/>
      <c r="E264" s="3"/>
    </row>
    <row r="265">
      <c r="B265" s="1"/>
      <c r="D265" s="2"/>
      <c r="E265" s="3"/>
    </row>
    <row r="266">
      <c r="B266" s="1"/>
      <c r="D266" s="2"/>
      <c r="E266" s="3"/>
    </row>
    <row r="267">
      <c r="B267" s="1"/>
      <c r="D267" s="2"/>
      <c r="E267" s="3"/>
    </row>
    <row r="268">
      <c r="B268" s="1"/>
      <c r="D268" s="2"/>
      <c r="E268" s="3"/>
    </row>
    <row r="269">
      <c r="B269" s="1"/>
      <c r="D269" s="2"/>
      <c r="E269" s="3"/>
    </row>
    <row r="270">
      <c r="B270" s="1"/>
      <c r="D270" s="2"/>
      <c r="E270" s="3"/>
    </row>
    <row r="271">
      <c r="B271" s="1"/>
      <c r="D271" s="2"/>
      <c r="E271" s="3"/>
    </row>
    <row r="272">
      <c r="B272" s="1"/>
      <c r="D272" s="2"/>
      <c r="E272" s="3"/>
    </row>
    <row r="273">
      <c r="B273" s="1"/>
      <c r="D273" s="2"/>
      <c r="E273" s="3"/>
    </row>
    <row r="274">
      <c r="B274" s="1"/>
      <c r="D274" s="2"/>
      <c r="E274" s="3"/>
    </row>
    <row r="275">
      <c r="B275" s="1"/>
      <c r="D275" s="2"/>
      <c r="E275" s="3"/>
    </row>
    <row r="276">
      <c r="B276" s="1"/>
      <c r="D276" s="2"/>
      <c r="E276" s="3"/>
    </row>
    <row r="277">
      <c r="B277" s="1"/>
      <c r="D277" s="2"/>
      <c r="E277" s="3"/>
    </row>
    <row r="278">
      <c r="B278" s="1"/>
      <c r="D278" s="2"/>
      <c r="E278" s="3"/>
    </row>
    <row r="279">
      <c r="B279" s="1"/>
      <c r="D279" s="2"/>
      <c r="E279" s="3"/>
    </row>
    <row r="280">
      <c r="B280" s="1"/>
      <c r="D280" s="2"/>
      <c r="E280" s="3"/>
    </row>
    <row r="281">
      <c r="B281" s="1"/>
      <c r="D281" s="2"/>
      <c r="E281" s="3"/>
    </row>
    <row r="282">
      <c r="B282" s="1"/>
      <c r="D282" s="2"/>
      <c r="E282" s="3"/>
    </row>
    <row r="283">
      <c r="B283" s="1"/>
      <c r="D283" s="2"/>
      <c r="E283" s="3"/>
    </row>
    <row r="284">
      <c r="B284" s="1"/>
      <c r="D284" s="2"/>
      <c r="E284" s="3"/>
    </row>
    <row r="285">
      <c r="B285" s="1"/>
      <c r="D285" s="2"/>
      <c r="E285" s="3"/>
    </row>
    <row r="286">
      <c r="B286" s="1"/>
      <c r="D286" s="2"/>
      <c r="E286" s="3"/>
    </row>
    <row r="287">
      <c r="B287" s="1"/>
      <c r="D287" s="2"/>
      <c r="E287" s="3"/>
    </row>
    <row r="288">
      <c r="B288" s="1"/>
      <c r="D288" s="2"/>
      <c r="E288" s="3"/>
    </row>
    <row r="289">
      <c r="B289" s="1"/>
      <c r="D289" s="2"/>
      <c r="E289" s="3"/>
    </row>
    <row r="290">
      <c r="B290" s="1"/>
      <c r="D290" s="2"/>
      <c r="E290" s="3"/>
    </row>
    <row r="291">
      <c r="B291" s="1"/>
      <c r="D291" s="2"/>
      <c r="E291" s="3"/>
    </row>
    <row r="292">
      <c r="B292" s="1"/>
      <c r="D292" s="2"/>
      <c r="E292" s="3"/>
    </row>
    <row r="293">
      <c r="B293" s="1"/>
      <c r="D293" s="2"/>
      <c r="E293" s="3"/>
    </row>
    <row r="294">
      <c r="B294" s="1"/>
      <c r="D294" s="2"/>
      <c r="E294" s="3"/>
    </row>
    <row r="295">
      <c r="B295" s="1"/>
      <c r="D295" s="2"/>
      <c r="E295" s="3"/>
    </row>
    <row r="296">
      <c r="B296" s="1"/>
      <c r="D296" s="2"/>
      <c r="E296" s="3"/>
    </row>
    <row r="297">
      <c r="B297" s="1"/>
      <c r="D297" s="2"/>
      <c r="E297" s="3"/>
    </row>
    <row r="298">
      <c r="B298" s="1"/>
      <c r="D298" s="2"/>
      <c r="E298" s="3"/>
    </row>
    <row r="299">
      <c r="B299" s="1"/>
      <c r="D299" s="2"/>
      <c r="E299" s="3"/>
    </row>
    <row r="300">
      <c r="B300" s="1"/>
      <c r="D300" s="2"/>
      <c r="E300" s="3"/>
    </row>
    <row r="301">
      <c r="B301" s="1"/>
      <c r="D301" s="2"/>
      <c r="E301" s="3"/>
    </row>
    <row r="302">
      <c r="B302" s="1"/>
      <c r="D302" s="2"/>
      <c r="E302" s="3"/>
    </row>
    <row r="303">
      <c r="B303" s="1"/>
      <c r="D303" s="2"/>
      <c r="E303" s="3"/>
    </row>
    <row r="304">
      <c r="B304" s="1"/>
      <c r="D304" s="2"/>
      <c r="E304" s="3"/>
    </row>
    <row r="305">
      <c r="B305" s="1"/>
      <c r="D305" s="2"/>
      <c r="E305" s="3"/>
    </row>
    <row r="306">
      <c r="B306" s="1"/>
      <c r="D306" s="2"/>
      <c r="E306" s="3"/>
    </row>
    <row r="307">
      <c r="B307" s="1"/>
      <c r="D307" s="2"/>
      <c r="E307" s="3"/>
    </row>
    <row r="308">
      <c r="B308" s="1"/>
      <c r="D308" s="2"/>
      <c r="E308" s="3"/>
    </row>
    <row r="309">
      <c r="B309" s="1"/>
      <c r="D309" s="2"/>
      <c r="E309" s="3"/>
    </row>
    <row r="310">
      <c r="B310" s="1"/>
      <c r="D310" s="2"/>
      <c r="E310" s="3"/>
    </row>
    <row r="311">
      <c r="B311" s="1"/>
      <c r="D311" s="2"/>
      <c r="E311" s="3"/>
    </row>
    <row r="312">
      <c r="B312" s="1"/>
      <c r="D312" s="2"/>
      <c r="E312" s="3"/>
    </row>
    <row r="313">
      <c r="B313" s="1"/>
      <c r="D313" s="2"/>
      <c r="E313" s="3"/>
    </row>
    <row r="314">
      <c r="B314" s="1"/>
      <c r="D314" s="2"/>
      <c r="E314" s="3"/>
    </row>
    <row r="315">
      <c r="B315" s="1"/>
      <c r="D315" s="2"/>
      <c r="E315" s="3"/>
    </row>
    <row r="316">
      <c r="B316" s="1"/>
      <c r="D316" s="2"/>
      <c r="E316" s="3"/>
    </row>
    <row r="317">
      <c r="B317" s="1"/>
      <c r="D317" s="2"/>
      <c r="E317" s="3"/>
    </row>
    <row r="318">
      <c r="B318" s="1"/>
      <c r="D318" s="2"/>
      <c r="E318" s="3"/>
    </row>
    <row r="319">
      <c r="B319" s="1"/>
      <c r="D319" s="2"/>
      <c r="E319" s="3"/>
    </row>
    <row r="320">
      <c r="B320" s="1"/>
      <c r="D320" s="2"/>
      <c r="E320" s="3"/>
    </row>
    <row r="321">
      <c r="B321" s="1"/>
      <c r="D321" s="2"/>
      <c r="E321" s="3"/>
    </row>
    <row r="322">
      <c r="B322" s="1"/>
      <c r="D322" s="2"/>
      <c r="E322" s="3"/>
    </row>
    <row r="323">
      <c r="B323" s="1"/>
      <c r="D323" s="2"/>
      <c r="E323" s="3"/>
    </row>
    <row r="324">
      <c r="B324" s="1"/>
      <c r="D324" s="2"/>
      <c r="E324" s="3"/>
    </row>
    <row r="325">
      <c r="B325" s="1"/>
      <c r="D325" s="2"/>
      <c r="E325" s="3"/>
    </row>
    <row r="326">
      <c r="B326" s="1"/>
      <c r="D326" s="2"/>
      <c r="E326" s="3"/>
    </row>
    <row r="327">
      <c r="B327" s="1"/>
      <c r="D327" s="2"/>
      <c r="E327" s="3"/>
    </row>
    <row r="328">
      <c r="B328" s="1"/>
      <c r="D328" s="2"/>
      <c r="E328" s="3"/>
    </row>
    <row r="329">
      <c r="B329" s="1"/>
      <c r="D329" s="2"/>
      <c r="E329" s="3"/>
    </row>
    <row r="330">
      <c r="B330" s="1"/>
      <c r="D330" s="2"/>
      <c r="E330" s="3"/>
    </row>
    <row r="331">
      <c r="B331" s="1"/>
      <c r="D331" s="2"/>
      <c r="E331" s="3"/>
    </row>
    <row r="332">
      <c r="B332" s="1"/>
      <c r="D332" s="2"/>
      <c r="E332" s="3"/>
    </row>
    <row r="333">
      <c r="B333" s="1"/>
      <c r="D333" s="2"/>
      <c r="E333" s="3"/>
    </row>
    <row r="334">
      <c r="B334" s="1"/>
      <c r="D334" s="2"/>
      <c r="E334" s="3"/>
    </row>
    <row r="335">
      <c r="B335" s="1"/>
      <c r="D335" s="2"/>
      <c r="E335" s="3"/>
    </row>
    <row r="336">
      <c r="B336" s="1"/>
      <c r="D336" s="2"/>
      <c r="E336" s="3"/>
    </row>
    <row r="337">
      <c r="B337" s="1"/>
      <c r="D337" s="2"/>
      <c r="E337" s="3"/>
    </row>
    <row r="338">
      <c r="B338" s="1"/>
      <c r="D338" s="2"/>
      <c r="E338" s="3"/>
    </row>
    <row r="339">
      <c r="B339" s="1"/>
      <c r="D339" s="2"/>
      <c r="E339" s="3"/>
    </row>
    <row r="340">
      <c r="B340" s="1"/>
      <c r="D340" s="2"/>
      <c r="E340" s="3"/>
    </row>
    <row r="341">
      <c r="B341" s="1"/>
      <c r="D341" s="2"/>
      <c r="E341" s="3"/>
    </row>
    <row r="342">
      <c r="B342" s="1"/>
      <c r="D342" s="2"/>
      <c r="E342" s="3"/>
    </row>
    <row r="343">
      <c r="B343" s="1"/>
      <c r="D343" s="2"/>
      <c r="E343" s="3"/>
    </row>
    <row r="344">
      <c r="B344" s="1"/>
      <c r="D344" s="2"/>
      <c r="E344" s="3"/>
    </row>
    <row r="345">
      <c r="B345" s="1"/>
      <c r="D345" s="2"/>
      <c r="E345" s="3"/>
    </row>
    <row r="346">
      <c r="B346" s="1"/>
      <c r="D346" s="2"/>
      <c r="E346" s="3"/>
    </row>
    <row r="347">
      <c r="B347" s="1"/>
      <c r="D347" s="2"/>
      <c r="E347" s="3"/>
    </row>
    <row r="348">
      <c r="B348" s="1"/>
      <c r="D348" s="2"/>
      <c r="E348" s="3"/>
    </row>
    <row r="349">
      <c r="B349" s="1"/>
      <c r="D349" s="2"/>
      <c r="E349" s="3"/>
    </row>
    <row r="350">
      <c r="B350" s="1"/>
      <c r="D350" s="2"/>
      <c r="E350" s="3"/>
    </row>
    <row r="351">
      <c r="B351" s="1"/>
      <c r="D351" s="2"/>
      <c r="E351" s="3"/>
    </row>
    <row r="352">
      <c r="B352" s="1"/>
      <c r="D352" s="2"/>
      <c r="E352" s="3"/>
    </row>
    <row r="353">
      <c r="B353" s="1"/>
      <c r="D353" s="2"/>
      <c r="E353" s="3"/>
    </row>
    <row r="354">
      <c r="B354" s="1"/>
      <c r="D354" s="2"/>
      <c r="E354" s="3"/>
    </row>
    <row r="355">
      <c r="B355" s="1"/>
      <c r="D355" s="2"/>
      <c r="E355" s="3"/>
    </row>
    <row r="356">
      <c r="B356" s="1"/>
      <c r="D356" s="2"/>
      <c r="E356" s="3"/>
    </row>
    <row r="357">
      <c r="B357" s="1"/>
      <c r="D357" s="2"/>
      <c r="E357" s="3"/>
    </row>
    <row r="358">
      <c r="B358" s="1"/>
      <c r="D358" s="2"/>
      <c r="E358" s="3"/>
    </row>
    <row r="359">
      <c r="B359" s="1"/>
      <c r="D359" s="2"/>
      <c r="E359" s="3"/>
    </row>
    <row r="360">
      <c r="B360" s="1"/>
      <c r="D360" s="2"/>
      <c r="E360" s="3"/>
    </row>
    <row r="361">
      <c r="B361" s="1"/>
      <c r="D361" s="2"/>
      <c r="E361" s="3"/>
    </row>
    <row r="362">
      <c r="B362" s="1"/>
      <c r="D362" s="2"/>
      <c r="E362" s="3"/>
    </row>
    <row r="363">
      <c r="B363" s="1"/>
      <c r="D363" s="2"/>
      <c r="E363" s="3"/>
    </row>
    <row r="364">
      <c r="B364" s="1"/>
      <c r="D364" s="2"/>
      <c r="E364" s="3"/>
    </row>
    <row r="365">
      <c r="B365" s="1"/>
      <c r="D365" s="2"/>
      <c r="E365" s="3"/>
    </row>
    <row r="366">
      <c r="B366" s="1"/>
      <c r="D366" s="2"/>
      <c r="E366" s="3"/>
    </row>
    <row r="367">
      <c r="B367" s="1"/>
      <c r="D367" s="2"/>
      <c r="E367" s="3"/>
    </row>
    <row r="368">
      <c r="B368" s="1"/>
      <c r="D368" s="2"/>
      <c r="E368" s="3"/>
    </row>
    <row r="369">
      <c r="B369" s="1"/>
      <c r="D369" s="2"/>
      <c r="E369" s="3"/>
    </row>
    <row r="370">
      <c r="B370" s="1"/>
      <c r="D370" s="2"/>
      <c r="E370" s="3"/>
    </row>
    <row r="371">
      <c r="B371" s="1"/>
      <c r="D371" s="2"/>
      <c r="E371" s="3"/>
    </row>
    <row r="372">
      <c r="B372" s="1"/>
      <c r="D372" s="2"/>
      <c r="E372" s="3"/>
    </row>
    <row r="373">
      <c r="B373" s="1"/>
      <c r="D373" s="2"/>
      <c r="E373" s="3"/>
    </row>
    <row r="374">
      <c r="B374" s="1"/>
      <c r="D374" s="2"/>
      <c r="E374" s="3"/>
    </row>
    <row r="375">
      <c r="B375" s="1"/>
      <c r="D375" s="2"/>
      <c r="E375" s="3"/>
    </row>
    <row r="376">
      <c r="B376" s="1"/>
      <c r="D376" s="2"/>
      <c r="E376" s="3"/>
    </row>
    <row r="377">
      <c r="B377" s="1"/>
      <c r="D377" s="2"/>
      <c r="E377" s="3"/>
    </row>
    <row r="378">
      <c r="B378" s="1"/>
      <c r="D378" s="2"/>
      <c r="E378" s="3"/>
    </row>
    <row r="379">
      <c r="B379" s="1"/>
      <c r="D379" s="2"/>
      <c r="E379" s="3"/>
    </row>
    <row r="380">
      <c r="B380" s="1"/>
      <c r="D380" s="2"/>
      <c r="E380" s="3"/>
    </row>
    <row r="381">
      <c r="B381" s="1"/>
      <c r="D381" s="2"/>
      <c r="E381" s="3"/>
    </row>
    <row r="382">
      <c r="B382" s="1"/>
      <c r="D382" s="2"/>
      <c r="E382" s="3"/>
    </row>
    <row r="383">
      <c r="B383" s="1"/>
      <c r="D383" s="2"/>
      <c r="E383" s="3"/>
    </row>
    <row r="384">
      <c r="B384" s="1"/>
      <c r="D384" s="2"/>
      <c r="E384" s="3"/>
    </row>
    <row r="385">
      <c r="B385" s="1"/>
      <c r="D385" s="2"/>
      <c r="E385" s="3"/>
    </row>
    <row r="386">
      <c r="B386" s="1"/>
      <c r="D386" s="2"/>
      <c r="E386" s="3"/>
    </row>
    <row r="387">
      <c r="B387" s="1"/>
      <c r="D387" s="2"/>
      <c r="E387" s="3"/>
    </row>
    <row r="388">
      <c r="B388" s="1"/>
      <c r="D388" s="2"/>
      <c r="E388" s="3"/>
    </row>
    <row r="389">
      <c r="B389" s="1"/>
      <c r="D389" s="2"/>
      <c r="E389" s="3"/>
    </row>
    <row r="390">
      <c r="B390" s="1"/>
      <c r="D390" s="2"/>
      <c r="E390" s="3"/>
    </row>
    <row r="391">
      <c r="B391" s="1"/>
      <c r="D391" s="2"/>
      <c r="E391" s="3"/>
    </row>
    <row r="392">
      <c r="B392" s="1"/>
      <c r="D392" s="2"/>
      <c r="E392" s="3"/>
    </row>
    <row r="393">
      <c r="B393" s="1"/>
      <c r="D393" s="2"/>
      <c r="E393" s="3"/>
    </row>
    <row r="394">
      <c r="B394" s="1"/>
      <c r="D394" s="2"/>
      <c r="E394" s="3"/>
    </row>
    <row r="395">
      <c r="B395" s="1"/>
      <c r="D395" s="2"/>
      <c r="E395" s="3"/>
    </row>
    <row r="396">
      <c r="B396" s="1"/>
      <c r="D396" s="2"/>
      <c r="E396" s="3"/>
    </row>
    <row r="397">
      <c r="B397" s="1"/>
      <c r="D397" s="2"/>
      <c r="E397" s="3"/>
    </row>
    <row r="398">
      <c r="B398" s="1"/>
      <c r="D398" s="2"/>
      <c r="E398" s="3"/>
    </row>
    <row r="399">
      <c r="B399" s="1"/>
      <c r="D399" s="2"/>
      <c r="E399" s="3"/>
    </row>
    <row r="400">
      <c r="B400" s="1"/>
      <c r="D400" s="2"/>
      <c r="E400" s="3"/>
    </row>
    <row r="401">
      <c r="B401" s="1"/>
      <c r="D401" s="2"/>
      <c r="E401" s="3"/>
    </row>
    <row r="402">
      <c r="B402" s="1"/>
      <c r="D402" s="2"/>
      <c r="E402" s="3"/>
    </row>
    <row r="403">
      <c r="B403" s="1"/>
      <c r="D403" s="2"/>
      <c r="E403" s="3"/>
    </row>
    <row r="404">
      <c r="B404" s="1"/>
      <c r="D404" s="2"/>
      <c r="E404" s="3"/>
    </row>
    <row r="405">
      <c r="B405" s="1"/>
      <c r="D405" s="2"/>
      <c r="E405" s="3"/>
    </row>
    <row r="406">
      <c r="B406" s="1"/>
      <c r="D406" s="2"/>
      <c r="E406" s="3"/>
    </row>
    <row r="407">
      <c r="B407" s="1"/>
      <c r="D407" s="2"/>
      <c r="E407" s="3"/>
    </row>
    <row r="408">
      <c r="B408" s="1"/>
      <c r="D408" s="2"/>
      <c r="E408" s="3"/>
    </row>
    <row r="409">
      <c r="B409" s="1"/>
      <c r="D409" s="2"/>
      <c r="E409" s="3"/>
    </row>
    <row r="410">
      <c r="B410" s="1"/>
      <c r="D410" s="2"/>
      <c r="E410" s="3"/>
    </row>
    <row r="411">
      <c r="B411" s="1"/>
      <c r="D411" s="2"/>
      <c r="E411" s="3"/>
    </row>
    <row r="412">
      <c r="B412" s="1"/>
      <c r="D412" s="2"/>
      <c r="E412" s="3"/>
    </row>
    <row r="413">
      <c r="B413" s="1"/>
      <c r="D413" s="2"/>
      <c r="E413" s="3"/>
    </row>
    <row r="414">
      <c r="B414" s="1"/>
      <c r="D414" s="2"/>
      <c r="E414" s="3"/>
    </row>
    <row r="415">
      <c r="B415" s="1"/>
      <c r="D415" s="2"/>
      <c r="E415" s="3"/>
    </row>
    <row r="416">
      <c r="B416" s="1"/>
      <c r="D416" s="2"/>
      <c r="E416" s="3"/>
    </row>
    <row r="417">
      <c r="B417" s="1"/>
      <c r="D417" s="2"/>
      <c r="E417" s="3"/>
    </row>
    <row r="418">
      <c r="B418" s="1"/>
      <c r="D418" s="2"/>
      <c r="E418" s="3"/>
    </row>
    <row r="419">
      <c r="B419" s="1"/>
      <c r="D419" s="2"/>
      <c r="E419" s="3"/>
    </row>
    <row r="420">
      <c r="B420" s="1"/>
      <c r="D420" s="2"/>
      <c r="E420" s="3"/>
    </row>
    <row r="421">
      <c r="B421" s="1"/>
      <c r="D421" s="2"/>
      <c r="E421" s="3"/>
    </row>
    <row r="422">
      <c r="B422" s="1"/>
      <c r="D422" s="2"/>
      <c r="E422" s="3"/>
    </row>
    <row r="423">
      <c r="B423" s="1"/>
      <c r="D423" s="2"/>
      <c r="E423" s="3"/>
    </row>
    <row r="424">
      <c r="B424" s="1"/>
      <c r="D424" s="2"/>
      <c r="E424" s="3"/>
    </row>
    <row r="425">
      <c r="B425" s="1"/>
      <c r="D425" s="2"/>
      <c r="E425" s="3"/>
    </row>
    <row r="426">
      <c r="B426" s="1"/>
      <c r="D426" s="2"/>
      <c r="E426" s="3"/>
    </row>
    <row r="427">
      <c r="B427" s="1"/>
      <c r="D427" s="2"/>
      <c r="E427" s="3"/>
    </row>
    <row r="428">
      <c r="B428" s="1"/>
      <c r="D428" s="2"/>
      <c r="E428" s="3"/>
    </row>
    <row r="429">
      <c r="B429" s="1"/>
      <c r="D429" s="2"/>
      <c r="E429" s="3"/>
    </row>
    <row r="430">
      <c r="B430" s="1"/>
      <c r="D430" s="2"/>
      <c r="E430" s="3"/>
    </row>
    <row r="431">
      <c r="B431" s="1"/>
      <c r="D431" s="2"/>
      <c r="E431" s="3"/>
    </row>
    <row r="432">
      <c r="B432" s="1"/>
      <c r="D432" s="2"/>
      <c r="E432" s="3"/>
    </row>
    <row r="433">
      <c r="B433" s="1"/>
      <c r="D433" s="2"/>
      <c r="E433" s="3"/>
    </row>
    <row r="434">
      <c r="B434" s="1"/>
      <c r="D434" s="2"/>
      <c r="E434" s="3"/>
    </row>
    <row r="435">
      <c r="B435" s="1"/>
      <c r="D435" s="2"/>
      <c r="E435" s="3"/>
    </row>
    <row r="436">
      <c r="B436" s="1"/>
      <c r="D436" s="2"/>
      <c r="E436" s="3"/>
    </row>
    <row r="437">
      <c r="B437" s="1"/>
      <c r="D437" s="2"/>
      <c r="E437" s="3"/>
    </row>
    <row r="438">
      <c r="B438" s="1"/>
      <c r="D438" s="2"/>
      <c r="E438" s="3"/>
    </row>
    <row r="439">
      <c r="B439" s="1"/>
      <c r="D439" s="2"/>
      <c r="E439" s="3"/>
    </row>
    <row r="440">
      <c r="B440" s="1"/>
      <c r="D440" s="2"/>
      <c r="E440" s="3"/>
    </row>
    <row r="441">
      <c r="B441" s="1"/>
      <c r="D441" s="2"/>
      <c r="E441" s="3"/>
    </row>
    <row r="442">
      <c r="B442" s="1"/>
      <c r="D442" s="2"/>
      <c r="E442" s="3"/>
    </row>
    <row r="443">
      <c r="B443" s="1"/>
      <c r="D443" s="2"/>
      <c r="E443" s="3"/>
    </row>
    <row r="444">
      <c r="B444" s="1"/>
      <c r="D444" s="2"/>
      <c r="E444" s="3"/>
    </row>
    <row r="445">
      <c r="B445" s="1"/>
      <c r="D445" s="2"/>
      <c r="E445" s="3"/>
    </row>
    <row r="446">
      <c r="B446" s="1"/>
      <c r="D446" s="2"/>
      <c r="E446" s="3"/>
    </row>
    <row r="447">
      <c r="B447" s="1"/>
      <c r="D447" s="2"/>
      <c r="E447" s="3"/>
    </row>
    <row r="448">
      <c r="B448" s="1"/>
      <c r="D448" s="2"/>
      <c r="E448" s="3"/>
    </row>
    <row r="449">
      <c r="B449" s="1"/>
      <c r="D449" s="2"/>
      <c r="E449" s="3"/>
    </row>
    <row r="450">
      <c r="B450" s="1"/>
      <c r="D450" s="2"/>
      <c r="E450" s="3"/>
    </row>
    <row r="451">
      <c r="B451" s="1"/>
      <c r="D451" s="2"/>
      <c r="E451" s="3"/>
    </row>
    <row r="452">
      <c r="B452" s="1"/>
      <c r="D452" s="2"/>
      <c r="E452" s="3"/>
    </row>
    <row r="453">
      <c r="B453" s="1"/>
      <c r="D453" s="2"/>
      <c r="E453" s="3"/>
    </row>
    <row r="454">
      <c r="B454" s="1"/>
      <c r="D454" s="2"/>
      <c r="E454" s="3"/>
    </row>
    <row r="455">
      <c r="B455" s="1"/>
      <c r="D455" s="2"/>
      <c r="E455" s="3"/>
    </row>
    <row r="456">
      <c r="B456" s="1"/>
      <c r="D456" s="2"/>
      <c r="E456" s="3"/>
    </row>
    <row r="457">
      <c r="B457" s="1"/>
      <c r="D457" s="2"/>
      <c r="E457" s="3"/>
    </row>
    <row r="458">
      <c r="B458" s="1"/>
      <c r="D458" s="2"/>
      <c r="E458" s="3"/>
    </row>
    <row r="459">
      <c r="B459" s="1"/>
      <c r="D459" s="2"/>
      <c r="E459" s="3"/>
    </row>
    <row r="460">
      <c r="B460" s="1"/>
      <c r="D460" s="2"/>
      <c r="E460" s="3"/>
    </row>
    <row r="461">
      <c r="B461" s="1"/>
      <c r="D461" s="2"/>
      <c r="E461" s="3"/>
    </row>
    <row r="462">
      <c r="B462" s="1"/>
      <c r="D462" s="2"/>
      <c r="E462" s="3"/>
    </row>
    <row r="463">
      <c r="B463" s="1"/>
      <c r="D463" s="2"/>
      <c r="E463" s="3"/>
    </row>
    <row r="464">
      <c r="B464" s="1"/>
      <c r="D464" s="2"/>
      <c r="E464" s="3"/>
    </row>
    <row r="465">
      <c r="B465" s="1"/>
      <c r="D465" s="2"/>
      <c r="E465" s="3"/>
    </row>
    <row r="466">
      <c r="B466" s="1"/>
      <c r="D466" s="2"/>
      <c r="E466" s="3"/>
    </row>
    <row r="467">
      <c r="B467" s="1"/>
      <c r="D467" s="2"/>
      <c r="E467" s="3"/>
    </row>
    <row r="468">
      <c r="B468" s="1"/>
      <c r="D468" s="2"/>
      <c r="E468" s="3"/>
    </row>
    <row r="469">
      <c r="B469" s="1"/>
      <c r="D469" s="2"/>
      <c r="E469" s="3"/>
    </row>
    <row r="470">
      <c r="B470" s="1"/>
      <c r="D470" s="2"/>
      <c r="E470" s="3"/>
    </row>
    <row r="471">
      <c r="B471" s="1"/>
      <c r="D471" s="2"/>
      <c r="E471" s="3"/>
    </row>
    <row r="472">
      <c r="B472" s="1"/>
      <c r="D472" s="2"/>
      <c r="E472" s="3"/>
    </row>
    <row r="473">
      <c r="B473" s="1"/>
      <c r="D473" s="2"/>
      <c r="E473" s="3"/>
    </row>
    <row r="474">
      <c r="B474" s="1"/>
      <c r="D474" s="2"/>
      <c r="E474" s="3"/>
    </row>
    <row r="475">
      <c r="B475" s="1"/>
      <c r="D475" s="2"/>
      <c r="E475" s="3"/>
    </row>
    <row r="476">
      <c r="B476" s="1"/>
      <c r="D476" s="2"/>
      <c r="E476" s="3"/>
    </row>
    <row r="477">
      <c r="B477" s="1"/>
      <c r="D477" s="2"/>
      <c r="E477" s="3"/>
    </row>
    <row r="478">
      <c r="B478" s="1"/>
      <c r="D478" s="2"/>
      <c r="E478" s="3"/>
    </row>
    <row r="479">
      <c r="B479" s="1"/>
      <c r="D479" s="2"/>
      <c r="E479" s="3"/>
    </row>
    <row r="480">
      <c r="B480" s="1"/>
      <c r="D480" s="2"/>
      <c r="E480" s="3"/>
    </row>
    <row r="481">
      <c r="B481" s="1"/>
      <c r="D481" s="2"/>
      <c r="E481" s="3"/>
    </row>
    <row r="482">
      <c r="B482" s="1"/>
      <c r="D482" s="2"/>
      <c r="E482" s="3"/>
    </row>
    <row r="483">
      <c r="B483" s="1"/>
      <c r="D483" s="2"/>
      <c r="E483" s="3"/>
    </row>
    <row r="484">
      <c r="B484" s="1"/>
      <c r="D484" s="2"/>
      <c r="E484" s="3"/>
    </row>
    <row r="485">
      <c r="B485" s="1"/>
      <c r="D485" s="2"/>
      <c r="E485" s="3"/>
    </row>
    <row r="486">
      <c r="B486" s="1"/>
      <c r="D486" s="2"/>
      <c r="E486" s="3"/>
    </row>
    <row r="487">
      <c r="B487" s="1"/>
      <c r="D487" s="2"/>
      <c r="E487" s="3"/>
    </row>
    <row r="488">
      <c r="B488" s="1"/>
      <c r="D488" s="2"/>
      <c r="E488" s="3"/>
    </row>
    <row r="489">
      <c r="B489" s="1"/>
      <c r="D489" s="2"/>
      <c r="E489" s="3"/>
    </row>
    <row r="490">
      <c r="B490" s="1"/>
      <c r="D490" s="2"/>
      <c r="E490" s="3"/>
    </row>
    <row r="491">
      <c r="B491" s="1"/>
      <c r="D491" s="2"/>
      <c r="E491" s="3"/>
    </row>
    <row r="492">
      <c r="B492" s="1"/>
      <c r="D492" s="2"/>
      <c r="E492" s="3"/>
    </row>
    <row r="493">
      <c r="B493" s="1"/>
      <c r="D493" s="2"/>
      <c r="E493" s="3"/>
    </row>
    <row r="494">
      <c r="B494" s="1"/>
      <c r="D494" s="2"/>
      <c r="E494" s="3"/>
    </row>
    <row r="495">
      <c r="B495" s="1"/>
      <c r="D495" s="2"/>
      <c r="E495" s="3"/>
    </row>
    <row r="496">
      <c r="B496" s="1"/>
      <c r="D496" s="2"/>
      <c r="E496" s="3"/>
    </row>
    <row r="497">
      <c r="B497" s="1"/>
      <c r="D497" s="2"/>
      <c r="E497" s="3"/>
    </row>
    <row r="498">
      <c r="B498" s="1"/>
      <c r="D498" s="2"/>
      <c r="E498" s="3"/>
    </row>
    <row r="499">
      <c r="B499" s="1"/>
      <c r="D499" s="2"/>
      <c r="E499" s="3"/>
    </row>
    <row r="500">
      <c r="B500" s="1"/>
      <c r="D500" s="2"/>
      <c r="E500" s="3"/>
    </row>
    <row r="501">
      <c r="B501" s="1"/>
      <c r="D501" s="2"/>
      <c r="E501" s="3"/>
    </row>
    <row r="502">
      <c r="B502" s="1"/>
      <c r="D502" s="2"/>
      <c r="E502" s="3"/>
    </row>
    <row r="503">
      <c r="B503" s="1"/>
      <c r="D503" s="2"/>
      <c r="E503" s="3"/>
    </row>
    <row r="504">
      <c r="B504" s="1"/>
      <c r="D504" s="2"/>
      <c r="E504" s="3"/>
    </row>
    <row r="505">
      <c r="B505" s="1"/>
      <c r="D505" s="2"/>
      <c r="E505" s="3"/>
    </row>
    <row r="506">
      <c r="B506" s="1"/>
      <c r="D506" s="2"/>
      <c r="E506" s="3"/>
    </row>
    <row r="507">
      <c r="B507" s="1"/>
      <c r="D507" s="2"/>
      <c r="E507" s="3"/>
    </row>
    <row r="508">
      <c r="B508" s="1"/>
      <c r="D508" s="2"/>
      <c r="E508" s="3"/>
    </row>
    <row r="509">
      <c r="B509" s="1"/>
      <c r="D509" s="2"/>
      <c r="E509" s="3"/>
    </row>
    <row r="510">
      <c r="B510" s="1"/>
      <c r="D510" s="2"/>
      <c r="E510" s="3"/>
    </row>
    <row r="511">
      <c r="B511" s="1"/>
      <c r="D511" s="2"/>
      <c r="E511" s="3"/>
    </row>
    <row r="512">
      <c r="B512" s="1"/>
      <c r="D512" s="2"/>
      <c r="E512" s="3"/>
    </row>
    <row r="513">
      <c r="B513" s="1"/>
      <c r="D513" s="2"/>
      <c r="E513" s="3"/>
    </row>
    <row r="514">
      <c r="B514" s="1"/>
      <c r="D514" s="2"/>
      <c r="E514" s="3"/>
    </row>
    <row r="515">
      <c r="B515" s="1"/>
      <c r="D515" s="2"/>
      <c r="E515" s="3"/>
    </row>
    <row r="516">
      <c r="B516" s="1"/>
      <c r="D516" s="2"/>
      <c r="E516" s="3"/>
    </row>
    <row r="517">
      <c r="B517" s="1"/>
      <c r="D517" s="2"/>
      <c r="E517" s="3"/>
    </row>
    <row r="518">
      <c r="B518" s="1"/>
      <c r="D518" s="2"/>
      <c r="E518" s="3"/>
    </row>
    <row r="519">
      <c r="B519" s="1"/>
      <c r="D519" s="2"/>
      <c r="E519" s="3"/>
    </row>
    <row r="520">
      <c r="B520" s="1"/>
      <c r="D520" s="2"/>
      <c r="E520" s="3"/>
    </row>
    <row r="521">
      <c r="B521" s="1"/>
      <c r="D521" s="2"/>
      <c r="E521" s="3"/>
    </row>
    <row r="522">
      <c r="B522" s="1"/>
      <c r="D522" s="2"/>
      <c r="E522" s="3"/>
    </row>
    <row r="523">
      <c r="B523" s="1"/>
      <c r="D523" s="2"/>
      <c r="E523" s="3"/>
    </row>
    <row r="524">
      <c r="B524" s="1"/>
      <c r="D524" s="2"/>
      <c r="E524" s="3"/>
    </row>
    <row r="525">
      <c r="B525" s="1"/>
      <c r="D525" s="2"/>
      <c r="E525" s="3"/>
    </row>
    <row r="526">
      <c r="B526" s="1"/>
      <c r="D526" s="2"/>
      <c r="E526" s="3"/>
    </row>
    <row r="527">
      <c r="B527" s="1"/>
      <c r="D527" s="2"/>
      <c r="E527" s="3"/>
    </row>
    <row r="528">
      <c r="B528" s="1"/>
      <c r="D528" s="2"/>
      <c r="E528" s="3"/>
    </row>
    <row r="529">
      <c r="B529" s="1"/>
      <c r="D529" s="2"/>
      <c r="E529" s="3"/>
    </row>
    <row r="530">
      <c r="B530" s="1"/>
      <c r="D530" s="2"/>
      <c r="E530" s="3"/>
    </row>
    <row r="531">
      <c r="B531" s="1"/>
      <c r="D531" s="2"/>
      <c r="E531" s="3"/>
    </row>
    <row r="532">
      <c r="B532" s="1"/>
      <c r="D532" s="2"/>
      <c r="E532" s="3"/>
    </row>
    <row r="533">
      <c r="B533" s="1"/>
      <c r="D533" s="2"/>
      <c r="E533" s="3"/>
    </row>
    <row r="534">
      <c r="B534" s="1"/>
      <c r="D534" s="2"/>
      <c r="E534" s="3"/>
    </row>
    <row r="535">
      <c r="B535" s="1"/>
      <c r="D535" s="2"/>
      <c r="E535" s="3"/>
    </row>
    <row r="536">
      <c r="B536" s="1"/>
      <c r="D536" s="2"/>
      <c r="E536" s="3"/>
    </row>
    <row r="537">
      <c r="B537" s="1"/>
      <c r="D537" s="2"/>
      <c r="E537" s="3"/>
    </row>
    <row r="538">
      <c r="B538" s="1"/>
      <c r="D538" s="2"/>
      <c r="E538" s="3"/>
    </row>
    <row r="539">
      <c r="B539" s="1"/>
      <c r="D539" s="2"/>
      <c r="E539" s="3"/>
    </row>
    <row r="540">
      <c r="B540" s="1"/>
      <c r="D540" s="2"/>
      <c r="E540" s="3"/>
    </row>
    <row r="541">
      <c r="B541" s="1"/>
      <c r="D541" s="2"/>
      <c r="E541" s="3"/>
    </row>
    <row r="542">
      <c r="B542" s="1"/>
      <c r="D542" s="2"/>
      <c r="E542" s="3"/>
    </row>
    <row r="543">
      <c r="B543" s="1"/>
      <c r="D543" s="2"/>
      <c r="E543" s="3"/>
    </row>
    <row r="544">
      <c r="B544" s="1"/>
      <c r="D544" s="2"/>
      <c r="E544" s="3"/>
    </row>
    <row r="545">
      <c r="B545" s="1"/>
      <c r="D545" s="2"/>
      <c r="E545" s="3"/>
    </row>
    <row r="546">
      <c r="B546" s="1"/>
      <c r="D546" s="2"/>
      <c r="E546" s="3"/>
    </row>
    <row r="547">
      <c r="B547" s="1"/>
      <c r="D547" s="2"/>
      <c r="E547" s="3"/>
    </row>
    <row r="548">
      <c r="B548" s="1"/>
      <c r="D548" s="2"/>
      <c r="E548" s="3"/>
    </row>
    <row r="549">
      <c r="B549" s="1"/>
      <c r="D549" s="2"/>
      <c r="E549" s="3"/>
    </row>
    <row r="550">
      <c r="B550" s="1"/>
      <c r="D550" s="2"/>
      <c r="E550" s="3"/>
    </row>
    <row r="551">
      <c r="B551" s="1"/>
      <c r="D551" s="2"/>
      <c r="E551" s="3"/>
    </row>
    <row r="552">
      <c r="B552" s="1"/>
      <c r="D552" s="2"/>
      <c r="E552" s="3"/>
    </row>
    <row r="553">
      <c r="B553" s="1"/>
      <c r="D553" s="2"/>
      <c r="E553" s="3"/>
    </row>
    <row r="554">
      <c r="B554" s="1"/>
      <c r="D554" s="2"/>
      <c r="E554" s="3"/>
    </row>
    <row r="555">
      <c r="B555" s="1"/>
      <c r="D555" s="2"/>
      <c r="E555" s="3"/>
    </row>
    <row r="556">
      <c r="B556" s="1"/>
      <c r="D556" s="2"/>
      <c r="E556" s="3"/>
    </row>
    <row r="557">
      <c r="B557" s="1"/>
      <c r="D557" s="2"/>
      <c r="E557" s="3"/>
    </row>
    <row r="558">
      <c r="B558" s="1"/>
      <c r="D558" s="2"/>
      <c r="E558" s="3"/>
    </row>
    <row r="559">
      <c r="B559" s="1"/>
      <c r="D559" s="2"/>
      <c r="E559" s="3"/>
    </row>
    <row r="560">
      <c r="B560" s="1"/>
      <c r="D560" s="2"/>
      <c r="E560" s="3"/>
    </row>
    <row r="561">
      <c r="B561" s="1"/>
      <c r="D561" s="2"/>
      <c r="E561" s="3"/>
    </row>
    <row r="562">
      <c r="B562" s="1"/>
      <c r="D562" s="2"/>
      <c r="E562" s="3"/>
    </row>
    <row r="563">
      <c r="B563" s="1"/>
      <c r="D563" s="2"/>
      <c r="E563" s="3"/>
    </row>
    <row r="564">
      <c r="B564" s="1"/>
      <c r="D564" s="2"/>
      <c r="E564" s="3"/>
    </row>
    <row r="565">
      <c r="B565" s="1"/>
      <c r="D565" s="2"/>
      <c r="E565" s="3"/>
    </row>
    <row r="566">
      <c r="B566" s="1"/>
      <c r="D566" s="2"/>
      <c r="E566" s="3"/>
    </row>
    <row r="567">
      <c r="B567" s="1"/>
      <c r="D567" s="2"/>
      <c r="E567" s="3"/>
    </row>
    <row r="568">
      <c r="B568" s="1"/>
      <c r="D568" s="2"/>
      <c r="E568" s="3"/>
    </row>
    <row r="569">
      <c r="B569" s="1"/>
      <c r="D569" s="2"/>
      <c r="E569" s="3"/>
    </row>
    <row r="570">
      <c r="B570" s="1"/>
      <c r="D570" s="2"/>
      <c r="E570" s="3"/>
    </row>
    <row r="571">
      <c r="B571" s="1"/>
      <c r="D571" s="2"/>
      <c r="E571" s="3"/>
    </row>
    <row r="572">
      <c r="B572" s="1"/>
      <c r="D572" s="2"/>
      <c r="E572" s="3"/>
    </row>
    <row r="573">
      <c r="B573" s="1"/>
      <c r="D573" s="2"/>
      <c r="E573" s="3"/>
    </row>
    <row r="574">
      <c r="B574" s="1"/>
      <c r="D574" s="2"/>
      <c r="E574" s="3"/>
    </row>
    <row r="575">
      <c r="B575" s="1"/>
      <c r="D575" s="2"/>
      <c r="E575" s="3"/>
    </row>
    <row r="576">
      <c r="B576" s="1"/>
      <c r="D576" s="2"/>
      <c r="E576" s="3"/>
    </row>
    <row r="577">
      <c r="B577" s="1"/>
      <c r="D577" s="2"/>
      <c r="E577" s="3"/>
    </row>
    <row r="578">
      <c r="B578" s="1"/>
      <c r="D578" s="2"/>
      <c r="E578" s="3"/>
    </row>
    <row r="579">
      <c r="B579" s="1"/>
      <c r="D579" s="2"/>
      <c r="E579" s="3"/>
    </row>
    <row r="580">
      <c r="B580" s="1"/>
      <c r="D580" s="2"/>
      <c r="E580" s="3"/>
    </row>
    <row r="581">
      <c r="B581" s="1"/>
      <c r="D581" s="2"/>
      <c r="E581" s="3"/>
    </row>
    <row r="582">
      <c r="B582" s="1"/>
      <c r="D582" s="2"/>
      <c r="E582" s="3"/>
    </row>
    <row r="583">
      <c r="B583" s="1"/>
      <c r="D583" s="2"/>
      <c r="E583" s="3"/>
    </row>
    <row r="584">
      <c r="B584" s="1"/>
      <c r="D584" s="2"/>
      <c r="E584" s="3"/>
    </row>
    <row r="585">
      <c r="B585" s="1"/>
      <c r="D585" s="2"/>
      <c r="E585" s="3"/>
    </row>
    <row r="586">
      <c r="B586" s="1"/>
      <c r="D586" s="2"/>
      <c r="E586" s="3"/>
    </row>
    <row r="587">
      <c r="B587" s="1"/>
      <c r="D587" s="2"/>
      <c r="E587" s="3"/>
    </row>
    <row r="588">
      <c r="B588" s="1"/>
      <c r="D588" s="2"/>
      <c r="E588" s="3"/>
    </row>
    <row r="589">
      <c r="B589" s="1"/>
      <c r="D589" s="2"/>
      <c r="E589" s="3"/>
    </row>
    <row r="590">
      <c r="B590" s="1"/>
      <c r="D590" s="2"/>
      <c r="E590" s="3"/>
    </row>
    <row r="591">
      <c r="B591" s="1"/>
      <c r="D591" s="2"/>
      <c r="E591" s="3"/>
    </row>
    <row r="592">
      <c r="B592" s="1"/>
      <c r="D592" s="2"/>
      <c r="E592" s="3"/>
    </row>
    <row r="593">
      <c r="B593" s="1"/>
      <c r="D593" s="2"/>
      <c r="E593" s="3"/>
    </row>
    <row r="594">
      <c r="B594" s="1"/>
      <c r="D594" s="2"/>
      <c r="E594" s="3"/>
    </row>
    <row r="595">
      <c r="B595" s="1"/>
      <c r="D595" s="2"/>
      <c r="E595" s="3"/>
    </row>
    <row r="596">
      <c r="B596" s="1"/>
      <c r="D596" s="2"/>
      <c r="E596" s="3"/>
    </row>
    <row r="597">
      <c r="B597" s="1"/>
      <c r="D597" s="2"/>
      <c r="E597" s="3"/>
    </row>
    <row r="598">
      <c r="B598" s="1"/>
      <c r="D598" s="2"/>
      <c r="E598" s="3"/>
    </row>
    <row r="599">
      <c r="B599" s="1"/>
      <c r="D599" s="2"/>
      <c r="E599" s="3"/>
    </row>
    <row r="600">
      <c r="B600" s="1"/>
      <c r="D600" s="2"/>
      <c r="E600" s="3"/>
    </row>
    <row r="601">
      <c r="B601" s="1"/>
      <c r="D601" s="2"/>
      <c r="E601" s="3"/>
    </row>
    <row r="602">
      <c r="B602" s="1"/>
      <c r="D602" s="2"/>
      <c r="E602" s="3"/>
    </row>
    <row r="603">
      <c r="B603" s="1"/>
      <c r="D603" s="2"/>
      <c r="E603" s="3"/>
    </row>
    <row r="604">
      <c r="B604" s="1"/>
      <c r="D604" s="2"/>
      <c r="E604" s="3"/>
    </row>
    <row r="605">
      <c r="B605" s="1"/>
      <c r="D605" s="2"/>
      <c r="E605" s="3"/>
    </row>
    <row r="606">
      <c r="B606" s="1"/>
      <c r="D606" s="2"/>
      <c r="E606" s="3"/>
    </row>
    <row r="607">
      <c r="B607" s="1"/>
      <c r="D607" s="2"/>
      <c r="E607" s="3"/>
    </row>
    <row r="608">
      <c r="B608" s="1"/>
      <c r="D608" s="2"/>
      <c r="E608" s="3"/>
    </row>
    <row r="609">
      <c r="B609" s="1"/>
      <c r="D609" s="2"/>
      <c r="E609" s="3"/>
    </row>
    <row r="610">
      <c r="B610" s="1"/>
      <c r="D610" s="2"/>
      <c r="E610" s="3"/>
    </row>
    <row r="611">
      <c r="B611" s="1"/>
      <c r="D611" s="2"/>
      <c r="E611" s="3"/>
    </row>
    <row r="612">
      <c r="B612" s="1"/>
      <c r="D612" s="2"/>
      <c r="E612" s="3"/>
    </row>
    <row r="613">
      <c r="B613" s="1"/>
      <c r="D613" s="2"/>
      <c r="E613" s="3"/>
    </row>
    <row r="614">
      <c r="B614" s="1"/>
      <c r="D614" s="2"/>
      <c r="E614" s="3"/>
    </row>
    <row r="615">
      <c r="B615" s="1"/>
      <c r="D615" s="2"/>
      <c r="E615" s="3"/>
    </row>
    <row r="616">
      <c r="B616" s="1"/>
      <c r="D616" s="2"/>
      <c r="E616" s="3"/>
    </row>
    <row r="617">
      <c r="B617" s="1"/>
      <c r="D617" s="2"/>
      <c r="E617" s="3"/>
    </row>
    <row r="618">
      <c r="B618" s="1"/>
      <c r="D618" s="2"/>
      <c r="E618" s="3"/>
    </row>
    <row r="619">
      <c r="B619" s="1"/>
      <c r="D619" s="2"/>
      <c r="E619" s="3"/>
    </row>
    <row r="620">
      <c r="B620" s="1"/>
      <c r="D620" s="2"/>
      <c r="E620" s="3"/>
    </row>
    <row r="621">
      <c r="B621" s="1"/>
      <c r="D621" s="2"/>
      <c r="E621" s="3"/>
    </row>
    <row r="622">
      <c r="B622" s="1"/>
      <c r="D622" s="2"/>
      <c r="E622" s="3"/>
    </row>
    <row r="623">
      <c r="B623" s="1"/>
      <c r="D623" s="2"/>
      <c r="E623" s="3"/>
    </row>
    <row r="624">
      <c r="B624" s="1"/>
      <c r="D624" s="2"/>
      <c r="E624" s="3"/>
    </row>
    <row r="625">
      <c r="B625" s="1"/>
      <c r="D625" s="2"/>
      <c r="E625" s="3"/>
    </row>
    <row r="626">
      <c r="B626" s="1"/>
      <c r="D626" s="2"/>
      <c r="E626" s="3"/>
    </row>
    <row r="627">
      <c r="B627" s="1"/>
      <c r="D627" s="2"/>
      <c r="E627" s="3"/>
    </row>
    <row r="628">
      <c r="B628" s="1"/>
      <c r="D628" s="2"/>
      <c r="E628" s="3"/>
    </row>
    <row r="629">
      <c r="B629" s="1"/>
      <c r="D629" s="2"/>
      <c r="E629" s="3"/>
    </row>
    <row r="630">
      <c r="B630" s="1"/>
      <c r="D630" s="2"/>
      <c r="E630" s="3"/>
    </row>
    <row r="631">
      <c r="B631" s="1"/>
      <c r="D631" s="2"/>
      <c r="E631" s="3"/>
    </row>
    <row r="632">
      <c r="B632" s="1"/>
      <c r="D632" s="2"/>
      <c r="E632" s="3"/>
    </row>
    <row r="633">
      <c r="B633" s="1"/>
      <c r="D633" s="2"/>
      <c r="E633" s="3"/>
    </row>
    <row r="634">
      <c r="B634" s="1"/>
      <c r="D634" s="2"/>
      <c r="E634" s="3"/>
    </row>
    <row r="635">
      <c r="B635" s="1"/>
      <c r="D635" s="2"/>
      <c r="E635" s="3"/>
    </row>
    <row r="636">
      <c r="B636" s="1"/>
      <c r="D636" s="2"/>
      <c r="E636" s="3"/>
    </row>
    <row r="637">
      <c r="B637" s="1"/>
      <c r="D637" s="2"/>
      <c r="E637" s="3"/>
    </row>
    <row r="638">
      <c r="B638" s="1"/>
      <c r="D638" s="2"/>
      <c r="E638" s="3"/>
    </row>
    <row r="639">
      <c r="B639" s="1"/>
      <c r="D639" s="2"/>
      <c r="E639" s="3"/>
    </row>
    <row r="640">
      <c r="B640" s="1"/>
      <c r="D640" s="2"/>
      <c r="E640" s="3"/>
    </row>
    <row r="641">
      <c r="B641" s="1"/>
      <c r="D641" s="2"/>
      <c r="E641" s="3"/>
    </row>
    <row r="642">
      <c r="B642" s="1"/>
      <c r="D642" s="2"/>
      <c r="E642" s="3"/>
    </row>
    <row r="643">
      <c r="B643" s="1"/>
      <c r="D643" s="2"/>
      <c r="E643" s="3"/>
    </row>
    <row r="644">
      <c r="B644" s="1"/>
      <c r="D644" s="2"/>
      <c r="E644" s="3"/>
    </row>
    <row r="645">
      <c r="B645" s="1"/>
      <c r="D645" s="2"/>
      <c r="E645" s="3"/>
    </row>
    <row r="646">
      <c r="B646" s="1"/>
      <c r="D646" s="2"/>
      <c r="E646" s="3"/>
    </row>
    <row r="647">
      <c r="B647" s="1"/>
      <c r="D647" s="2"/>
      <c r="E647" s="3"/>
    </row>
    <row r="648">
      <c r="B648" s="1"/>
      <c r="D648" s="2"/>
      <c r="E648" s="3"/>
    </row>
    <row r="649">
      <c r="B649" s="1"/>
      <c r="D649" s="2"/>
      <c r="E649" s="3"/>
    </row>
    <row r="650">
      <c r="B650" s="1"/>
      <c r="D650" s="2"/>
      <c r="E650" s="3"/>
    </row>
    <row r="651">
      <c r="B651" s="1"/>
      <c r="D651" s="2"/>
      <c r="E651" s="3"/>
    </row>
    <row r="652">
      <c r="B652" s="1"/>
      <c r="D652" s="2"/>
      <c r="E652" s="3"/>
    </row>
    <row r="653">
      <c r="B653" s="1"/>
      <c r="D653" s="2"/>
      <c r="E653" s="3"/>
    </row>
    <row r="654">
      <c r="B654" s="1"/>
      <c r="D654" s="2"/>
      <c r="E654" s="3"/>
    </row>
    <row r="655">
      <c r="B655" s="1"/>
      <c r="D655" s="2"/>
      <c r="E655" s="3"/>
    </row>
    <row r="656">
      <c r="B656" s="1"/>
      <c r="D656" s="2"/>
      <c r="E656" s="3"/>
    </row>
    <row r="657">
      <c r="B657" s="1"/>
      <c r="D657" s="2"/>
      <c r="E657" s="3"/>
    </row>
    <row r="658">
      <c r="B658" s="1"/>
      <c r="D658" s="2"/>
      <c r="E658" s="3"/>
    </row>
    <row r="659">
      <c r="B659" s="1"/>
      <c r="D659" s="2"/>
      <c r="E659" s="3"/>
    </row>
    <row r="660">
      <c r="B660" s="1"/>
      <c r="D660" s="2"/>
      <c r="E660" s="3"/>
    </row>
    <row r="661">
      <c r="B661" s="1"/>
      <c r="D661" s="2"/>
      <c r="E661" s="3"/>
    </row>
    <row r="662">
      <c r="B662" s="1"/>
      <c r="D662" s="2"/>
      <c r="E662" s="3"/>
    </row>
    <row r="663">
      <c r="B663" s="1"/>
      <c r="D663" s="2"/>
      <c r="E663" s="3"/>
    </row>
    <row r="664">
      <c r="B664" s="1"/>
      <c r="D664" s="2"/>
      <c r="E664" s="3"/>
    </row>
    <row r="665">
      <c r="B665" s="1"/>
      <c r="D665" s="2"/>
      <c r="E665" s="3"/>
    </row>
    <row r="666">
      <c r="B666" s="1"/>
      <c r="D666" s="2"/>
      <c r="E666" s="3"/>
    </row>
    <row r="667">
      <c r="B667" s="1"/>
      <c r="D667" s="2"/>
      <c r="E667" s="3"/>
    </row>
    <row r="668">
      <c r="B668" s="1"/>
      <c r="D668" s="2"/>
      <c r="E668" s="3"/>
    </row>
    <row r="669">
      <c r="B669" s="1"/>
      <c r="D669" s="2"/>
      <c r="E669" s="3"/>
    </row>
    <row r="670">
      <c r="B670" s="1"/>
      <c r="D670" s="2"/>
      <c r="E670" s="3"/>
    </row>
    <row r="671">
      <c r="B671" s="1"/>
      <c r="D671" s="2"/>
      <c r="E671" s="3"/>
    </row>
    <row r="672">
      <c r="B672" s="1"/>
      <c r="D672" s="2"/>
      <c r="E672" s="3"/>
    </row>
    <row r="673">
      <c r="B673" s="1"/>
      <c r="D673" s="2"/>
      <c r="E673" s="3"/>
    </row>
    <row r="674">
      <c r="B674" s="1"/>
      <c r="D674" s="2"/>
      <c r="E674" s="3"/>
    </row>
    <row r="675">
      <c r="B675" s="1"/>
      <c r="D675" s="2"/>
      <c r="E675" s="3"/>
    </row>
    <row r="676">
      <c r="B676" s="1"/>
      <c r="D676" s="2"/>
      <c r="E676" s="3"/>
    </row>
    <row r="677">
      <c r="B677" s="1"/>
      <c r="D677" s="2"/>
      <c r="E677" s="3"/>
    </row>
    <row r="678">
      <c r="B678" s="1"/>
      <c r="D678" s="2"/>
      <c r="E678" s="3"/>
    </row>
    <row r="679">
      <c r="B679" s="1"/>
      <c r="D679" s="2"/>
      <c r="E679" s="3"/>
    </row>
    <row r="680">
      <c r="B680" s="1"/>
      <c r="D680" s="2"/>
      <c r="E680" s="3"/>
    </row>
    <row r="681">
      <c r="B681" s="1"/>
      <c r="D681" s="2"/>
      <c r="E681" s="3"/>
    </row>
    <row r="682">
      <c r="B682" s="1"/>
      <c r="D682" s="2"/>
      <c r="E682" s="3"/>
    </row>
    <row r="683">
      <c r="B683" s="1"/>
      <c r="D683" s="2"/>
      <c r="E683" s="3"/>
    </row>
    <row r="684">
      <c r="B684" s="1"/>
      <c r="D684" s="2"/>
      <c r="E684" s="3"/>
    </row>
    <row r="685">
      <c r="B685" s="1"/>
      <c r="D685" s="2"/>
      <c r="E685" s="3"/>
    </row>
    <row r="686">
      <c r="B686" s="1"/>
      <c r="D686" s="2"/>
      <c r="E686" s="3"/>
    </row>
    <row r="687">
      <c r="B687" s="1"/>
      <c r="D687" s="2"/>
      <c r="E687" s="3"/>
    </row>
    <row r="688">
      <c r="B688" s="1"/>
      <c r="D688" s="2"/>
      <c r="E688" s="3"/>
    </row>
    <row r="689">
      <c r="B689" s="1"/>
      <c r="D689" s="2"/>
      <c r="E689" s="3"/>
    </row>
    <row r="690">
      <c r="B690" s="1"/>
      <c r="D690" s="2"/>
      <c r="E690" s="3"/>
    </row>
    <row r="691">
      <c r="B691" s="1"/>
      <c r="D691" s="2"/>
      <c r="E691" s="3"/>
    </row>
    <row r="692">
      <c r="B692" s="1"/>
      <c r="D692" s="2"/>
      <c r="E692" s="3"/>
    </row>
    <row r="693">
      <c r="B693" s="1"/>
      <c r="D693" s="2"/>
      <c r="E693" s="3"/>
    </row>
    <row r="694">
      <c r="B694" s="1"/>
      <c r="D694" s="2"/>
      <c r="E694" s="3"/>
    </row>
    <row r="695">
      <c r="B695" s="1"/>
      <c r="D695" s="2"/>
      <c r="E695" s="3"/>
    </row>
    <row r="696">
      <c r="B696" s="1"/>
      <c r="D696" s="2"/>
      <c r="E696" s="3"/>
    </row>
    <row r="697">
      <c r="B697" s="1"/>
      <c r="D697" s="2"/>
      <c r="E697" s="3"/>
    </row>
    <row r="698">
      <c r="B698" s="1"/>
      <c r="D698" s="2"/>
      <c r="E698" s="3"/>
    </row>
    <row r="699">
      <c r="B699" s="1"/>
      <c r="D699" s="2"/>
      <c r="E699" s="3"/>
    </row>
    <row r="700">
      <c r="B700" s="1"/>
      <c r="D700" s="2"/>
      <c r="E700" s="3"/>
    </row>
    <row r="701">
      <c r="B701" s="1"/>
      <c r="D701" s="2"/>
      <c r="E701" s="3"/>
    </row>
    <row r="702">
      <c r="B702" s="1"/>
      <c r="D702" s="2"/>
      <c r="E702" s="3"/>
    </row>
    <row r="703">
      <c r="B703" s="1"/>
      <c r="D703" s="2"/>
      <c r="E703" s="3"/>
    </row>
    <row r="704">
      <c r="B704" s="1"/>
      <c r="D704" s="2"/>
      <c r="E704" s="3"/>
    </row>
    <row r="705">
      <c r="B705" s="1"/>
      <c r="D705" s="2"/>
      <c r="E705" s="3"/>
    </row>
    <row r="706">
      <c r="B706" s="1"/>
      <c r="D706" s="2"/>
      <c r="E706" s="3"/>
    </row>
    <row r="707">
      <c r="B707" s="1"/>
      <c r="D707" s="2"/>
      <c r="E707" s="3"/>
    </row>
    <row r="708">
      <c r="B708" s="1"/>
      <c r="D708" s="2"/>
      <c r="E708" s="3"/>
    </row>
    <row r="709">
      <c r="B709" s="1"/>
      <c r="D709" s="2"/>
      <c r="E709" s="3"/>
    </row>
    <row r="710">
      <c r="B710" s="1"/>
      <c r="D710" s="2"/>
      <c r="E710" s="3"/>
    </row>
    <row r="711">
      <c r="B711" s="1"/>
      <c r="D711" s="2"/>
      <c r="E711" s="3"/>
    </row>
    <row r="712">
      <c r="B712" s="1"/>
      <c r="D712" s="2"/>
      <c r="E712" s="3"/>
    </row>
    <row r="713">
      <c r="B713" s="1"/>
      <c r="D713" s="2"/>
      <c r="E713" s="3"/>
    </row>
    <row r="714">
      <c r="B714" s="1"/>
      <c r="D714" s="2"/>
      <c r="E714" s="3"/>
    </row>
    <row r="715">
      <c r="B715" s="1"/>
      <c r="D715" s="2"/>
      <c r="E715" s="3"/>
    </row>
    <row r="716">
      <c r="B716" s="1"/>
      <c r="D716" s="2"/>
      <c r="E716" s="3"/>
    </row>
    <row r="717">
      <c r="B717" s="1"/>
      <c r="D717" s="2"/>
      <c r="E717" s="3"/>
    </row>
    <row r="718">
      <c r="B718" s="1"/>
      <c r="D718" s="2"/>
      <c r="E718" s="3"/>
    </row>
    <row r="719">
      <c r="B719" s="1"/>
      <c r="D719" s="2"/>
      <c r="E719" s="3"/>
    </row>
    <row r="720">
      <c r="B720" s="1"/>
      <c r="D720" s="2"/>
      <c r="E720" s="3"/>
    </row>
    <row r="721">
      <c r="B721" s="1"/>
      <c r="D721" s="2"/>
      <c r="E721" s="3"/>
    </row>
    <row r="722">
      <c r="B722" s="1"/>
      <c r="D722" s="2"/>
      <c r="E722" s="3"/>
    </row>
    <row r="723">
      <c r="B723" s="1"/>
      <c r="D723" s="2"/>
      <c r="E723" s="3"/>
    </row>
    <row r="724">
      <c r="B724" s="1"/>
      <c r="D724" s="2"/>
      <c r="E724" s="3"/>
    </row>
    <row r="725">
      <c r="B725" s="1"/>
      <c r="D725" s="2"/>
      <c r="E725" s="3"/>
    </row>
    <row r="726">
      <c r="B726" s="1"/>
      <c r="D726" s="2"/>
      <c r="E726" s="3"/>
    </row>
    <row r="727">
      <c r="B727" s="1"/>
      <c r="D727" s="2"/>
      <c r="E727" s="3"/>
    </row>
    <row r="728">
      <c r="B728" s="1"/>
      <c r="D728" s="2"/>
      <c r="E728" s="3"/>
    </row>
    <row r="729">
      <c r="B729" s="1"/>
      <c r="D729" s="2"/>
      <c r="E729" s="3"/>
    </row>
    <row r="730">
      <c r="B730" s="1"/>
      <c r="D730" s="2"/>
      <c r="E730" s="3"/>
    </row>
    <row r="731">
      <c r="B731" s="1"/>
      <c r="D731" s="2"/>
      <c r="E731" s="3"/>
    </row>
    <row r="732">
      <c r="B732" s="1"/>
      <c r="D732" s="2"/>
      <c r="E732" s="3"/>
    </row>
    <row r="733">
      <c r="B733" s="1"/>
      <c r="D733" s="2"/>
      <c r="E733" s="3"/>
    </row>
    <row r="734">
      <c r="B734" s="1"/>
      <c r="D734" s="2"/>
      <c r="E734" s="3"/>
    </row>
    <row r="735">
      <c r="B735" s="1"/>
      <c r="D735" s="2"/>
      <c r="E735" s="3"/>
    </row>
    <row r="736">
      <c r="B736" s="1"/>
      <c r="D736" s="2"/>
      <c r="E736" s="3"/>
    </row>
    <row r="737">
      <c r="B737" s="1"/>
      <c r="D737" s="2"/>
      <c r="E737" s="3"/>
    </row>
    <row r="738">
      <c r="B738" s="1"/>
      <c r="D738" s="2"/>
      <c r="E738" s="3"/>
    </row>
    <row r="739">
      <c r="B739" s="1"/>
      <c r="D739" s="2"/>
      <c r="E739" s="3"/>
    </row>
    <row r="740">
      <c r="B740" s="1"/>
      <c r="D740" s="2"/>
      <c r="E740" s="3"/>
    </row>
    <row r="741">
      <c r="B741" s="1"/>
      <c r="D741" s="2"/>
      <c r="E741" s="3"/>
    </row>
    <row r="742">
      <c r="B742" s="1"/>
      <c r="D742" s="2"/>
      <c r="E742" s="3"/>
    </row>
    <row r="743">
      <c r="B743" s="1"/>
      <c r="D743" s="2"/>
      <c r="E743" s="3"/>
    </row>
    <row r="744">
      <c r="B744" s="1"/>
      <c r="D744" s="2"/>
      <c r="E744" s="3"/>
    </row>
    <row r="745">
      <c r="B745" s="1"/>
      <c r="D745" s="2"/>
      <c r="E745" s="3"/>
    </row>
    <row r="746">
      <c r="B746" s="1"/>
      <c r="D746" s="2"/>
      <c r="E746" s="3"/>
    </row>
    <row r="747">
      <c r="B747" s="1"/>
      <c r="D747" s="2"/>
      <c r="E747" s="3"/>
    </row>
    <row r="748">
      <c r="B748" s="1"/>
      <c r="D748" s="2"/>
      <c r="E748" s="3"/>
    </row>
    <row r="749">
      <c r="B749" s="1"/>
      <c r="D749" s="2"/>
      <c r="E749" s="3"/>
    </row>
    <row r="750">
      <c r="B750" s="1"/>
      <c r="D750" s="2"/>
      <c r="E750" s="3"/>
    </row>
    <row r="751">
      <c r="B751" s="1"/>
      <c r="D751" s="2"/>
      <c r="E751" s="3"/>
    </row>
    <row r="752">
      <c r="B752" s="1"/>
      <c r="D752" s="2"/>
      <c r="E752" s="3"/>
    </row>
    <row r="753">
      <c r="B753" s="1"/>
      <c r="D753" s="2"/>
      <c r="E753" s="3"/>
    </row>
    <row r="754">
      <c r="B754" s="1"/>
      <c r="D754" s="2"/>
      <c r="E754" s="3"/>
    </row>
    <row r="755">
      <c r="B755" s="1"/>
      <c r="D755" s="2"/>
      <c r="E755" s="3"/>
    </row>
    <row r="756">
      <c r="B756" s="1"/>
      <c r="D756" s="2"/>
      <c r="E756" s="3"/>
    </row>
    <row r="757">
      <c r="B757" s="1"/>
      <c r="D757" s="2"/>
      <c r="E757" s="3"/>
    </row>
    <row r="758">
      <c r="B758" s="1"/>
      <c r="D758" s="2"/>
      <c r="E758" s="3"/>
    </row>
    <row r="759">
      <c r="B759" s="1"/>
      <c r="D759" s="2"/>
      <c r="E759" s="3"/>
    </row>
    <row r="760">
      <c r="B760" s="1"/>
      <c r="D760" s="2"/>
      <c r="E760" s="3"/>
    </row>
    <row r="761">
      <c r="B761" s="1"/>
      <c r="D761" s="2"/>
      <c r="E761" s="3"/>
    </row>
    <row r="762">
      <c r="B762" s="1"/>
      <c r="D762" s="2"/>
      <c r="E762" s="3"/>
    </row>
    <row r="763">
      <c r="B763" s="1"/>
      <c r="D763" s="2"/>
      <c r="E763" s="3"/>
    </row>
    <row r="764">
      <c r="B764" s="1"/>
      <c r="D764" s="2"/>
      <c r="E764" s="3"/>
    </row>
    <row r="765">
      <c r="B765" s="1"/>
      <c r="D765" s="2"/>
      <c r="E765" s="3"/>
    </row>
    <row r="766">
      <c r="B766" s="1"/>
      <c r="D766" s="2"/>
      <c r="E766" s="3"/>
    </row>
    <row r="767">
      <c r="B767" s="1"/>
      <c r="D767" s="2"/>
      <c r="E767" s="3"/>
    </row>
    <row r="768">
      <c r="B768" s="1"/>
      <c r="D768" s="2"/>
      <c r="E768" s="3"/>
    </row>
    <row r="769">
      <c r="B769" s="1"/>
      <c r="D769" s="2"/>
      <c r="E769" s="3"/>
    </row>
    <row r="770">
      <c r="B770" s="1"/>
      <c r="D770" s="2"/>
      <c r="E770" s="3"/>
    </row>
    <row r="771">
      <c r="B771" s="1"/>
      <c r="D771" s="2"/>
      <c r="E771" s="3"/>
    </row>
    <row r="772">
      <c r="B772" s="1"/>
      <c r="D772" s="2"/>
      <c r="E772" s="3"/>
    </row>
    <row r="773">
      <c r="B773" s="1"/>
      <c r="D773" s="2"/>
      <c r="E773" s="3"/>
    </row>
    <row r="774">
      <c r="B774" s="1"/>
      <c r="D774" s="2"/>
      <c r="E774" s="3"/>
    </row>
    <row r="775">
      <c r="B775" s="1"/>
      <c r="D775" s="2"/>
      <c r="E775" s="3"/>
    </row>
    <row r="776">
      <c r="B776" s="1"/>
      <c r="D776" s="2"/>
      <c r="E776" s="3"/>
    </row>
    <row r="777">
      <c r="B777" s="1"/>
      <c r="D777" s="2"/>
      <c r="E777" s="3"/>
    </row>
    <row r="778">
      <c r="B778" s="1"/>
      <c r="D778" s="2"/>
      <c r="E778" s="3"/>
    </row>
    <row r="779">
      <c r="B779" s="1"/>
      <c r="D779" s="2"/>
      <c r="E779" s="3"/>
    </row>
    <row r="780">
      <c r="B780" s="1"/>
      <c r="D780" s="2"/>
      <c r="E780" s="3"/>
    </row>
    <row r="781">
      <c r="B781" s="1"/>
      <c r="D781" s="2"/>
      <c r="E781" s="3"/>
    </row>
    <row r="782">
      <c r="B782" s="1"/>
      <c r="D782" s="2"/>
      <c r="E782" s="3"/>
    </row>
    <row r="783">
      <c r="B783" s="1"/>
      <c r="D783" s="2"/>
      <c r="E783" s="3"/>
    </row>
    <row r="784">
      <c r="B784" s="1"/>
      <c r="D784" s="2"/>
      <c r="E784" s="3"/>
    </row>
    <row r="785">
      <c r="B785" s="1"/>
      <c r="D785" s="2"/>
      <c r="E785" s="3"/>
    </row>
    <row r="786">
      <c r="B786" s="1"/>
      <c r="D786" s="2"/>
      <c r="E786" s="3"/>
    </row>
    <row r="787">
      <c r="B787" s="1"/>
      <c r="D787" s="2"/>
      <c r="E787" s="3"/>
    </row>
    <row r="788">
      <c r="B788" s="1"/>
      <c r="D788" s="2"/>
      <c r="E788" s="3"/>
    </row>
    <row r="789">
      <c r="B789" s="1"/>
      <c r="D789" s="2"/>
      <c r="E789" s="3"/>
    </row>
    <row r="790">
      <c r="B790" s="1"/>
      <c r="D790" s="2"/>
      <c r="E790" s="3"/>
    </row>
    <row r="791">
      <c r="B791" s="1"/>
      <c r="D791" s="2"/>
      <c r="E791" s="3"/>
    </row>
    <row r="792">
      <c r="B792" s="1"/>
      <c r="D792" s="2"/>
      <c r="E792" s="3"/>
    </row>
    <row r="793">
      <c r="B793" s="1"/>
      <c r="D793" s="2"/>
      <c r="E793" s="3"/>
    </row>
    <row r="794">
      <c r="B794" s="1"/>
      <c r="D794" s="2"/>
      <c r="E794" s="3"/>
    </row>
    <row r="795">
      <c r="B795" s="1"/>
      <c r="D795" s="2"/>
      <c r="E795" s="3"/>
    </row>
    <row r="796">
      <c r="B796" s="1"/>
      <c r="D796" s="2"/>
      <c r="E796" s="3"/>
    </row>
    <row r="797">
      <c r="B797" s="1"/>
      <c r="D797" s="2"/>
      <c r="E797" s="3"/>
    </row>
    <row r="798">
      <c r="B798" s="1"/>
      <c r="D798" s="2"/>
      <c r="E798" s="3"/>
    </row>
    <row r="799">
      <c r="B799" s="1"/>
      <c r="D799" s="2"/>
      <c r="E799" s="3"/>
    </row>
    <row r="800">
      <c r="B800" s="1"/>
      <c r="D800" s="2"/>
      <c r="E800" s="3"/>
    </row>
    <row r="801">
      <c r="B801" s="1"/>
      <c r="D801" s="2"/>
      <c r="E801" s="3"/>
    </row>
    <row r="802">
      <c r="B802" s="1"/>
      <c r="D802" s="2"/>
      <c r="E802" s="3"/>
    </row>
    <row r="803">
      <c r="B803" s="1"/>
      <c r="D803" s="2"/>
      <c r="E803" s="3"/>
    </row>
    <row r="804">
      <c r="B804" s="1"/>
      <c r="D804" s="2"/>
      <c r="E804" s="3"/>
    </row>
    <row r="805">
      <c r="B805" s="1"/>
      <c r="D805" s="2"/>
      <c r="E805" s="3"/>
    </row>
    <row r="806">
      <c r="B806" s="1"/>
      <c r="D806" s="2"/>
      <c r="E806" s="3"/>
    </row>
    <row r="807">
      <c r="B807" s="1"/>
      <c r="D807" s="2"/>
      <c r="E807" s="3"/>
    </row>
    <row r="808">
      <c r="B808" s="1"/>
      <c r="D808" s="2"/>
      <c r="E808" s="3"/>
    </row>
    <row r="809">
      <c r="B809" s="1"/>
      <c r="D809" s="2"/>
      <c r="E809" s="3"/>
    </row>
    <row r="810">
      <c r="B810" s="1"/>
      <c r="D810" s="2"/>
      <c r="E810" s="3"/>
    </row>
    <row r="811">
      <c r="B811" s="1"/>
      <c r="D811" s="2"/>
      <c r="E811" s="3"/>
    </row>
    <row r="812">
      <c r="B812" s="1"/>
      <c r="D812" s="2"/>
      <c r="E812" s="3"/>
    </row>
    <row r="813">
      <c r="B813" s="1"/>
      <c r="D813" s="2"/>
      <c r="E813" s="3"/>
    </row>
    <row r="814">
      <c r="B814" s="1"/>
      <c r="D814" s="2"/>
      <c r="E814" s="3"/>
    </row>
    <row r="815">
      <c r="B815" s="1"/>
      <c r="D815" s="2"/>
      <c r="E815" s="3"/>
    </row>
    <row r="816">
      <c r="B816" s="1"/>
      <c r="D816" s="2"/>
      <c r="E816" s="3"/>
    </row>
    <row r="817">
      <c r="B817" s="1"/>
      <c r="D817" s="2"/>
      <c r="E817" s="3"/>
    </row>
    <row r="818">
      <c r="B818" s="1"/>
      <c r="D818" s="2"/>
      <c r="E818" s="3"/>
    </row>
    <row r="819">
      <c r="B819" s="1"/>
      <c r="D819" s="2"/>
      <c r="E819" s="3"/>
    </row>
    <row r="820">
      <c r="B820" s="1"/>
      <c r="D820" s="2"/>
      <c r="E820" s="3"/>
    </row>
    <row r="821">
      <c r="B821" s="1"/>
      <c r="D821" s="2"/>
      <c r="E821" s="3"/>
    </row>
    <row r="822">
      <c r="B822" s="1"/>
      <c r="D822" s="2"/>
      <c r="E822" s="3"/>
    </row>
    <row r="823">
      <c r="B823" s="1"/>
      <c r="D823" s="2"/>
      <c r="E823" s="3"/>
    </row>
    <row r="824">
      <c r="B824" s="1"/>
      <c r="D824" s="2"/>
      <c r="E824" s="3"/>
    </row>
    <row r="825">
      <c r="B825" s="1"/>
      <c r="D825" s="2"/>
      <c r="E825" s="3"/>
    </row>
    <row r="826">
      <c r="B826" s="1"/>
      <c r="D826" s="2"/>
      <c r="E826" s="3"/>
    </row>
    <row r="827">
      <c r="B827" s="1"/>
      <c r="D827" s="2"/>
      <c r="E827" s="3"/>
    </row>
    <row r="828">
      <c r="B828" s="1"/>
      <c r="D828" s="2"/>
      <c r="E828" s="3"/>
    </row>
    <row r="829">
      <c r="B829" s="1"/>
      <c r="D829" s="2"/>
      <c r="E829" s="3"/>
    </row>
    <row r="830">
      <c r="B830" s="1"/>
      <c r="D830" s="2"/>
      <c r="E830" s="3"/>
    </row>
    <row r="831">
      <c r="B831" s="1"/>
      <c r="D831" s="2"/>
      <c r="E831" s="3"/>
    </row>
    <row r="832">
      <c r="B832" s="1"/>
      <c r="D832" s="2"/>
      <c r="E832" s="3"/>
    </row>
    <row r="833">
      <c r="B833" s="1"/>
      <c r="D833" s="2"/>
      <c r="E833" s="3"/>
    </row>
    <row r="834">
      <c r="B834" s="1"/>
      <c r="D834" s="2"/>
      <c r="E834" s="3"/>
    </row>
    <row r="835">
      <c r="B835" s="1"/>
      <c r="D835" s="2"/>
      <c r="E835" s="3"/>
    </row>
    <row r="836">
      <c r="B836" s="1"/>
      <c r="D836" s="2"/>
      <c r="E836" s="3"/>
    </row>
    <row r="837">
      <c r="B837" s="1"/>
      <c r="D837" s="2"/>
      <c r="E837" s="3"/>
    </row>
    <row r="838">
      <c r="B838" s="1"/>
      <c r="D838" s="2"/>
      <c r="E838" s="3"/>
    </row>
    <row r="839">
      <c r="B839" s="1"/>
      <c r="D839" s="2"/>
      <c r="E839" s="3"/>
    </row>
    <row r="840">
      <c r="B840" s="1"/>
      <c r="D840" s="2"/>
      <c r="E840" s="3"/>
    </row>
    <row r="841">
      <c r="B841" s="1"/>
      <c r="D841" s="2"/>
      <c r="E841" s="3"/>
    </row>
    <row r="842">
      <c r="B842" s="1"/>
      <c r="D842" s="2"/>
      <c r="E842" s="3"/>
    </row>
    <row r="843">
      <c r="B843" s="1"/>
      <c r="D843" s="2"/>
      <c r="E843" s="3"/>
    </row>
    <row r="844">
      <c r="B844" s="1"/>
      <c r="D844" s="2"/>
      <c r="E844" s="3"/>
    </row>
    <row r="845">
      <c r="B845" s="1"/>
      <c r="D845" s="2"/>
      <c r="E845" s="3"/>
    </row>
    <row r="846">
      <c r="B846" s="1"/>
      <c r="D846" s="2"/>
      <c r="E846" s="3"/>
    </row>
    <row r="847">
      <c r="B847" s="1"/>
      <c r="D847" s="2"/>
      <c r="E847" s="3"/>
    </row>
    <row r="848">
      <c r="B848" s="1"/>
      <c r="D848" s="2"/>
      <c r="E848" s="3"/>
    </row>
    <row r="849">
      <c r="B849" s="1"/>
      <c r="D849" s="2"/>
      <c r="E849" s="3"/>
    </row>
    <row r="850">
      <c r="B850" s="1"/>
      <c r="D850" s="2"/>
      <c r="E850" s="3"/>
    </row>
    <row r="851">
      <c r="B851" s="1"/>
      <c r="D851" s="2"/>
      <c r="E851" s="3"/>
    </row>
    <row r="852">
      <c r="B852" s="1"/>
      <c r="D852" s="2"/>
      <c r="E852" s="3"/>
    </row>
    <row r="853">
      <c r="B853" s="1"/>
      <c r="D853" s="2"/>
      <c r="E853" s="3"/>
    </row>
    <row r="854">
      <c r="B854" s="1"/>
      <c r="D854" s="2"/>
      <c r="E854" s="3"/>
    </row>
    <row r="855">
      <c r="B855" s="1"/>
      <c r="D855" s="2"/>
      <c r="E855" s="3"/>
    </row>
    <row r="856">
      <c r="B856" s="1"/>
      <c r="D856" s="2"/>
      <c r="E856" s="3"/>
    </row>
    <row r="857">
      <c r="B857" s="1"/>
      <c r="D857" s="2"/>
      <c r="E857" s="3"/>
    </row>
    <row r="858">
      <c r="B858" s="1"/>
      <c r="D858" s="2"/>
      <c r="E858" s="3"/>
    </row>
    <row r="859">
      <c r="B859" s="1"/>
      <c r="D859" s="2"/>
      <c r="E859" s="3"/>
    </row>
    <row r="860">
      <c r="B860" s="1"/>
      <c r="D860" s="2"/>
      <c r="E860" s="3"/>
    </row>
    <row r="861">
      <c r="B861" s="1"/>
      <c r="D861" s="2"/>
      <c r="E861" s="3"/>
    </row>
    <row r="862">
      <c r="B862" s="1"/>
      <c r="D862" s="2"/>
      <c r="E862" s="3"/>
    </row>
    <row r="863">
      <c r="B863" s="1"/>
      <c r="D863" s="2"/>
      <c r="E863" s="3"/>
    </row>
    <row r="864">
      <c r="B864" s="1"/>
      <c r="D864" s="2"/>
      <c r="E864" s="3"/>
    </row>
    <row r="865">
      <c r="B865" s="1"/>
      <c r="D865" s="2"/>
      <c r="E865" s="3"/>
    </row>
    <row r="866">
      <c r="B866" s="1"/>
      <c r="D866" s="2"/>
      <c r="E866" s="3"/>
    </row>
    <row r="867">
      <c r="B867" s="1"/>
      <c r="D867" s="2"/>
      <c r="E867" s="3"/>
    </row>
    <row r="868">
      <c r="B868" s="1"/>
      <c r="D868" s="2"/>
      <c r="E868" s="3"/>
    </row>
    <row r="869">
      <c r="B869" s="1"/>
      <c r="D869" s="2"/>
      <c r="E869" s="3"/>
    </row>
    <row r="870">
      <c r="B870" s="1"/>
      <c r="D870" s="2"/>
      <c r="E870" s="3"/>
    </row>
    <row r="871">
      <c r="B871" s="1"/>
      <c r="D871" s="2"/>
      <c r="E871" s="3"/>
    </row>
    <row r="872">
      <c r="B872" s="1"/>
      <c r="D872" s="2"/>
      <c r="E872" s="3"/>
    </row>
    <row r="873">
      <c r="B873" s="1"/>
      <c r="D873" s="2"/>
      <c r="E873" s="3"/>
    </row>
    <row r="874">
      <c r="B874" s="1"/>
      <c r="D874" s="2"/>
      <c r="E874" s="3"/>
    </row>
    <row r="875">
      <c r="B875" s="1"/>
      <c r="D875" s="2"/>
      <c r="E875" s="3"/>
    </row>
    <row r="876">
      <c r="B876" s="1"/>
      <c r="D876" s="2"/>
      <c r="E876" s="3"/>
    </row>
    <row r="877">
      <c r="B877" s="1"/>
      <c r="D877" s="2"/>
      <c r="E877" s="3"/>
    </row>
    <row r="878">
      <c r="B878" s="1"/>
      <c r="D878" s="2"/>
      <c r="E878" s="3"/>
    </row>
    <row r="879">
      <c r="B879" s="1"/>
      <c r="D879" s="2"/>
      <c r="E879" s="3"/>
    </row>
    <row r="880">
      <c r="B880" s="1"/>
      <c r="D880" s="2"/>
      <c r="E880" s="3"/>
    </row>
    <row r="881">
      <c r="B881" s="1"/>
      <c r="D881" s="2"/>
      <c r="E881" s="3"/>
    </row>
    <row r="882">
      <c r="B882" s="1"/>
      <c r="D882" s="2"/>
      <c r="E882" s="3"/>
    </row>
    <row r="883">
      <c r="B883" s="1"/>
      <c r="D883" s="2"/>
      <c r="E883" s="3"/>
    </row>
    <row r="884">
      <c r="B884" s="1"/>
      <c r="D884" s="2"/>
      <c r="E884" s="3"/>
    </row>
    <row r="885">
      <c r="B885" s="1"/>
      <c r="D885" s="2"/>
      <c r="E885" s="3"/>
    </row>
    <row r="886">
      <c r="B886" s="1"/>
      <c r="D886" s="2"/>
      <c r="E886" s="3"/>
    </row>
    <row r="887">
      <c r="B887" s="1"/>
      <c r="D887" s="2"/>
      <c r="E887" s="3"/>
    </row>
    <row r="888">
      <c r="B888" s="1"/>
      <c r="D888" s="2"/>
      <c r="E888" s="3"/>
    </row>
    <row r="889">
      <c r="B889" s="1"/>
      <c r="D889" s="2"/>
      <c r="E889" s="3"/>
    </row>
    <row r="890">
      <c r="B890" s="1"/>
      <c r="D890" s="2"/>
      <c r="E890" s="3"/>
    </row>
    <row r="891">
      <c r="B891" s="1"/>
      <c r="D891" s="2"/>
      <c r="E891" s="3"/>
    </row>
    <row r="892">
      <c r="B892" s="1"/>
      <c r="D892" s="2"/>
      <c r="E892" s="3"/>
    </row>
    <row r="893">
      <c r="B893" s="1"/>
      <c r="D893" s="2"/>
      <c r="E893" s="3"/>
    </row>
    <row r="894">
      <c r="B894" s="1"/>
      <c r="D894" s="2"/>
      <c r="E894" s="3"/>
    </row>
    <row r="895">
      <c r="B895" s="1"/>
      <c r="D895" s="2"/>
      <c r="E895" s="3"/>
    </row>
    <row r="896">
      <c r="B896" s="1"/>
      <c r="D896" s="2"/>
      <c r="E896" s="3"/>
    </row>
    <row r="897">
      <c r="B897" s="1"/>
      <c r="D897" s="2"/>
      <c r="E897" s="3"/>
    </row>
    <row r="898">
      <c r="B898" s="1"/>
      <c r="D898" s="2"/>
      <c r="E898" s="3"/>
    </row>
    <row r="899">
      <c r="B899" s="1"/>
      <c r="D899" s="2"/>
      <c r="E899" s="3"/>
    </row>
    <row r="900">
      <c r="B900" s="1"/>
      <c r="D900" s="2"/>
      <c r="E900" s="3"/>
    </row>
    <row r="901">
      <c r="B901" s="1"/>
      <c r="D901" s="2"/>
      <c r="E901" s="3"/>
    </row>
    <row r="902">
      <c r="B902" s="1"/>
      <c r="D902" s="2"/>
      <c r="E902" s="3"/>
    </row>
    <row r="903">
      <c r="B903" s="1"/>
      <c r="D903" s="2"/>
      <c r="E903" s="3"/>
    </row>
    <row r="904">
      <c r="B904" s="1"/>
      <c r="D904" s="2"/>
      <c r="E904" s="3"/>
    </row>
    <row r="905">
      <c r="B905" s="1"/>
      <c r="D905" s="2"/>
      <c r="E905" s="3"/>
    </row>
    <row r="906">
      <c r="B906" s="1"/>
      <c r="D906" s="2"/>
      <c r="E906" s="3"/>
    </row>
    <row r="907">
      <c r="B907" s="1"/>
      <c r="D907" s="2"/>
      <c r="E907" s="3"/>
    </row>
    <row r="908">
      <c r="B908" s="1"/>
      <c r="D908" s="2"/>
      <c r="E908" s="3"/>
    </row>
    <row r="909">
      <c r="B909" s="1"/>
      <c r="D909" s="2"/>
      <c r="E909" s="3"/>
    </row>
    <row r="910">
      <c r="B910" s="1"/>
      <c r="D910" s="2"/>
      <c r="E910" s="3"/>
    </row>
    <row r="911">
      <c r="B911" s="1"/>
      <c r="D911" s="2"/>
      <c r="E911" s="3"/>
    </row>
    <row r="912">
      <c r="B912" s="1"/>
      <c r="D912" s="2"/>
      <c r="E912" s="3"/>
    </row>
    <row r="913">
      <c r="B913" s="1"/>
      <c r="D913" s="2"/>
      <c r="E913" s="3"/>
    </row>
    <row r="914">
      <c r="B914" s="1"/>
      <c r="D914" s="2"/>
      <c r="E914" s="3"/>
    </row>
    <row r="915">
      <c r="B915" s="1"/>
      <c r="D915" s="2"/>
      <c r="E915" s="3"/>
    </row>
    <row r="916">
      <c r="B916" s="1"/>
      <c r="D916" s="2"/>
      <c r="E916" s="3"/>
    </row>
    <row r="917">
      <c r="B917" s="1"/>
      <c r="D917" s="2"/>
      <c r="E917" s="3"/>
    </row>
    <row r="918">
      <c r="B918" s="1"/>
      <c r="D918" s="2"/>
      <c r="E918" s="3"/>
    </row>
    <row r="919">
      <c r="B919" s="1"/>
      <c r="D919" s="2"/>
      <c r="E919" s="3"/>
    </row>
    <row r="920">
      <c r="B920" s="1"/>
      <c r="D920" s="2"/>
      <c r="E920" s="3"/>
    </row>
    <row r="921">
      <c r="B921" s="1"/>
      <c r="D921" s="2"/>
      <c r="E921" s="3"/>
    </row>
    <row r="922">
      <c r="B922" s="1"/>
      <c r="D922" s="2"/>
      <c r="E922" s="3"/>
    </row>
    <row r="923">
      <c r="B923" s="1"/>
      <c r="D923" s="2"/>
      <c r="E923" s="3"/>
    </row>
    <row r="924">
      <c r="B924" s="1"/>
      <c r="D924" s="2"/>
      <c r="E924" s="3"/>
    </row>
    <row r="925">
      <c r="B925" s="1"/>
      <c r="D925" s="2"/>
      <c r="E925" s="3"/>
    </row>
    <row r="926">
      <c r="B926" s="1"/>
      <c r="D926" s="2"/>
      <c r="E926" s="3"/>
    </row>
    <row r="927">
      <c r="B927" s="1"/>
      <c r="D927" s="2"/>
      <c r="E927" s="3"/>
    </row>
    <row r="928">
      <c r="B928" s="1"/>
      <c r="D928" s="2"/>
      <c r="E928" s="3"/>
    </row>
    <row r="929">
      <c r="B929" s="1"/>
      <c r="D929" s="2"/>
      <c r="E929" s="3"/>
    </row>
    <row r="930">
      <c r="B930" s="1"/>
      <c r="D930" s="2"/>
      <c r="E930" s="3"/>
    </row>
    <row r="931">
      <c r="B931" s="1"/>
      <c r="D931" s="2"/>
      <c r="E931" s="3"/>
    </row>
    <row r="932">
      <c r="B932" s="1"/>
      <c r="D932" s="2"/>
      <c r="E932" s="3"/>
    </row>
    <row r="933">
      <c r="B933" s="1"/>
      <c r="D933" s="2"/>
      <c r="E933" s="3"/>
    </row>
    <row r="934">
      <c r="B934" s="1"/>
      <c r="D934" s="2"/>
      <c r="E934" s="3"/>
    </row>
    <row r="935">
      <c r="B935" s="1"/>
      <c r="D935" s="2"/>
      <c r="E935" s="3"/>
    </row>
    <row r="936">
      <c r="B936" s="1"/>
      <c r="D936" s="2"/>
      <c r="E936" s="3"/>
    </row>
    <row r="937">
      <c r="B937" s="1"/>
      <c r="D937" s="2"/>
      <c r="E937" s="3"/>
    </row>
    <row r="938">
      <c r="B938" s="1"/>
      <c r="D938" s="2"/>
      <c r="E938" s="3"/>
    </row>
    <row r="939">
      <c r="B939" s="1"/>
      <c r="D939" s="2"/>
      <c r="E939" s="3"/>
    </row>
    <row r="940">
      <c r="B940" s="1"/>
      <c r="D940" s="2"/>
      <c r="E940" s="3"/>
    </row>
    <row r="941">
      <c r="B941" s="1"/>
      <c r="D941" s="2"/>
      <c r="E941" s="3"/>
    </row>
    <row r="942">
      <c r="B942" s="1"/>
      <c r="D942" s="2"/>
      <c r="E942" s="3"/>
    </row>
    <row r="943">
      <c r="B943" s="1"/>
      <c r="D943" s="2"/>
      <c r="E943" s="3"/>
    </row>
    <row r="944">
      <c r="B944" s="1"/>
      <c r="D944" s="2"/>
      <c r="E944" s="3"/>
    </row>
    <row r="945">
      <c r="B945" s="1"/>
      <c r="D945" s="2"/>
      <c r="E945" s="3"/>
    </row>
    <row r="946">
      <c r="B946" s="1"/>
      <c r="D946" s="2"/>
      <c r="E946" s="3"/>
    </row>
    <row r="947">
      <c r="B947" s="1"/>
      <c r="D947" s="2"/>
      <c r="E947" s="3"/>
    </row>
    <row r="948">
      <c r="B948" s="1"/>
      <c r="D948" s="2"/>
      <c r="E948" s="3"/>
    </row>
    <row r="949">
      <c r="B949" s="1"/>
      <c r="D949" s="2"/>
      <c r="E949" s="3"/>
    </row>
    <row r="950">
      <c r="B950" s="1"/>
      <c r="D950" s="2"/>
      <c r="E950" s="3"/>
    </row>
    <row r="951">
      <c r="B951" s="1"/>
      <c r="D951" s="2"/>
      <c r="E951" s="3"/>
    </row>
    <row r="952">
      <c r="B952" s="1"/>
      <c r="D952" s="2"/>
      <c r="E952" s="3"/>
    </row>
    <row r="953">
      <c r="B953" s="1"/>
      <c r="D953" s="2"/>
      <c r="E953" s="3"/>
    </row>
    <row r="954">
      <c r="B954" s="1"/>
      <c r="D954" s="2"/>
      <c r="E954" s="3"/>
    </row>
    <row r="955">
      <c r="B955" s="1"/>
      <c r="D955" s="2"/>
      <c r="E955" s="3"/>
    </row>
    <row r="956">
      <c r="B956" s="1"/>
      <c r="D956" s="2"/>
      <c r="E956" s="3"/>
    </row>
    <row r="957">
      <c r="B957" s="1"/>
      <c r="D957" s="2"/>
      <c r="E957" s="3"/>
    </row>
    <row r="958">
      <c r="B958" s="1"/>
      <c r="D958" s="2"/>
      <c r="E958" s="3"/>
    </row>
    <row r="959">
      <c r="B959" s="1"/>
      <c r="D959" s="2"/>
      <c r="E959" s="3"/>
    </row>
    <row r="960">
      <c r="B960" s="1"/>
      <c r="D960" s="2"/>
      <c r="E960" s="3"/>
    </row>
    <row r="961">
      <c r="B961" s="1"/>
      <c r="D961" s="2"/>
      <c r="E961" s="3"/>
    </row>
    <row r="962">
      <c r="B962" s="1"/>
      <c r="D962" s="2"/>
      <c r="E962" s="3"/>
    </row>
    <row r="963">
      <c r="B963" s="1"/>
      <c r="D963" s="2"/>
      <c r="E963" s="3"/>
    </row>
    <row r="964">
      <c r="B964" s="1"/>
      <c r="D964" s="2"/>
      <c r="E964" s="3"/>
    </row>
    <row r="965">
      <c r="B965" s="1"/>
      <c r="D965" s="2"/>
      <c r="E965" s="3"/>
    </row>
    <row r="966">
      <c r="B966" s="1"/>
      <c r="D966" s="2"/>
      <c r="E966" s="3"/>
    </row>
    <row r="967">
      <c r="B967" s="1"/>
      <c r="D967" s="2"/>
      <c r="E967" s="3"/>
    </row>
    <row r="968">
      <c r="B968" s="1"/>
      <c r="D968" s="2"/>
      <c r="E968" s="3"/>
    </row>
    <row r="969">
      <c r="B969" s="1"/>
      <c r="D969" s="2"/>
      <c r="E969" s="3"/>
    </row>
    <row r="970">
      <c r="B970" s="1"/>
      <c r="D970" s="2"/>
      <c r="E970" s="3"/>
    </row>
    <row r="971">
      <c r="B971" s="1"/>
      <c r="D971" s="2"/>
      <c r="E971" s="3"/>
    </row>
    <row r="972">
      <c r="B972" s="1"/>
      <c r="D972" s="2"/>
      <c r="E972" s="3"/>
    </row>
    <row r="973">
      <c r="B973" s="1"/>
      <c r="D973" s="2"/>
      <c r="E973" s="3"/>
    </row>
    <row r="974">
      <c r="B974" s="1"/>
      <c r="D974" s="2"/>
      <c r="E974" s="3"/>
    </row>
    <row r="975">
      <c r="B975" s="1"/>
      <c r="D975" s="2"/>
      <c r="E975" s="3"/>
    </row>
    <row r="976">
      <c r="B976" s="1"/>
      <c r="D976" s="2"/>
      <c r="E976" s="3"/>
    </row>
    <row r="977">
      <c r="B977" s="1"/>
      <c r="D977" s="2"/>
      <c r="E977" s="3"/>
    </row>
    <row r="978">
      <c r="B978" s="1"/>
      <c r="D978" s="2"/>
      <c r="E978" s="3"/>
    </row>
    <row r="979">
      <c r="B979" s="1"/>
      <c r="D979" s="2"/>
      <c r="E979" s="3"/>
    </row>
    <row r="980">
      <c r="B980" s="1"/>
      <c r="D980" s="2"/>
      <c r="E980" s="3"/>
    </row>
    <row r="981">
      <c r="B981" s="1"/>
      <c r="D981" s="2"/>
      <c r="E981" s="3"/>
    </row>
    <row r="982">
      <c r="B982" s="1"/>
      <c r="D982" s="2"/>
      <c r="E982" s="3"/>
    </row>
    <row r="983">
      <c r="B983" s="1"/>
      <c r="D983" s="2"/>
      <c r="E983" s="3"/>
    </row>
    <row r="984">
      <c r="B984" s="1"/>
      <c r="D984" s="2"/>
      <c r="E984" s="3"/>
    </row>
    <row r="985">
      <c r="B985" s="1"/>
      <c r="D985" s="2"/>
      <c r="E985" s="3"/>
    </row>
    <row r="986">
      <c r="B986" s="1"/>
      <c r="D986" s="2"/>
      <c r="E986" s="3"/>
    </row>
    <row r="987">
      <c r="B987" s="1"/>
      <c r="D987" s="2"/>
      <c r="E987" s="3"/>
    </row>
    <row r="988">
      <c r="B988" s="1"/>
      <c r="D988" s="2"/>
      <c r="E988" s="3"/>
    </row>
    <row r="989">
      <c r="B989" s="1"/>
      <c r="D989" s="2"/>
      <c r="E989" s="3"/>
    </row>
    <row r="990">
      <c r="B990" s="1"/>
      <c r="D990" s="2"/>
      <c r="E990" s="3"/>
    </row>
    <row r="991">
      <c r="B991" s="1"/>
      <c r="D991" s="2"/>
      <c r="E991" s="3"/>
    </row>
    <row r="992">
      <c r="B992" s="1"/>
      <c r="D992" s="2"/>
      <c r="E992" s="3"/>
    </row>
    <row r="993">
      <c r="B993" s="1"/>
      <c r="D993" s="2"/>
      <c r="E993" s="3"/>
    </row>
    <row r="994">
      <c r="B994" s="1"/>
      <c r="D994" s="2"/>
      <c r="E994" s="3"/>
    </row>
    <row r="995">
      <c r="B995" s="1"/>
      <c r="D995" s="2"/>
      <c r="E995" s="3"/>
    </row>
    <row r="996">
      <c r="B996" s="1"/>
      <c r="D996" s="2"/>
      <c r="E996" s="3"/>
    </row>
    <row r="997">
      <c r="B997" s="1"/>
      <c r="D997" s="2"/>
      <c r="E997" s="3"/>
    </row>
    <row r="998">
      <c r="B998" s="1"/>
      <c r="D998" s="2"/>
      <c r="E998" s="3"/>
    </row>
    <row r="999">
      <c r="B999" s="1"/>
      <c r="D999" s="2"/>
      <c r="E999" s="3"/>
    </row>
    <row r="1000">
      <c r="B1000" s="1"/>
      <c r="D1000" s="2"/>
      <c r="E1000" s="3"/>
    </row>
  </sheetData>
  <mergeCells count="1">
    <mergeCell ref="L3:M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0</v>
      </c>
    </row>
    <row r="2">
      <c r="A2" s="8">
        <v>0.0</v>
      </c>
      <c r="B2" s="8" t="s">
        <v>26</v>
      </c>
      <c r="C2" s="8" t="s">
        <v>27</v>
      </c>
      <c r="D2" s="8" t="s">
        <v>28</v>
      </c>
      <c r="E2" s="12">
        <v>45739.0</v>
      </c>
      <c r="F2" s="8">
        <v>75.36</v>
      </c>
      <c r="G2" s="8" t="s">
        <v>29</v>
      </c>
      <c r="H2" s="8" t="s">
        <v>30</v>
      </c>
      <c r="I2" s="8">
        <v>1054.0</v>
      </c>
    </row>
    <row r="3">
      <c r="A3" s="8">
        <v>1.0</v>
      </c>
      <c r="B3" s="8" t="s">
        <v>31</v>
      </c>
      <c r="C3" s="8" t="s">
        <v>27</v>
      </c>
      <c r="D3" s="8" t="s">
        <v>32</v>
      </c>
      <c r="E3" s="12">
        <v>45662.0</v>
      </c>
      <c r="F3" s="8">
        <v>71.63</v>
      </c>
      <c r="H3" s="8" t="s">
        <v>33</v>
      </c>
      <c r="I3" s="8">
        <v>1057.0</v>
      </c>
    </row>
    <row r="4">
      <c r="A4" s="8">
        <v>2.0</v>
      </c>
      <c r="B4" s="8" t="s">
        <v>34</v>
      </c>
      <c r="C4" s="8" t="s">
        <v>27</v>
      </c>
      <c r="D4" s="8" t="s">
        <v>35</v>
      </c>
      <c r="E4" s="12">
        <v>45733.0</v>
      </c>
      <c r="F4" s="8">
        <v>95.94</v>
      </c>
      <c r="G4" s="8" t="s">
        <v>36</v>
      </c>
      <c r="H4" s="8" t="s">
        <v>33</v>
      </c>
      <c r="I4" s="8">
        <v>1011.0</v>
      </c>
    </row>
    <row r="5">
      <c r="A5" s="8">
        <v>3.0</v>
      </c>
      <c r="B5" s="8" t="s">
        <v>26</v>
      </c>
      <c r="C5" s="8" t="s">
        <v>37</v>
      </c>
      <c r="D5" s="8" t="s">
        <v>32</v>
      </c>
      <c r="E5" s="12">
        <v>45706.0</v>
      </c>
      <c r="F5" s="8">
        <v>97.45</v>
      </c>
      <c r="H5" s="8" t="s">
        <v>33</v>
      </c>
      <c r="I5" s="8">
        <v>1070.0</v>
      </c>
    </row>
    <row r="6">
      <c r="A6" s="8">
        <v>4.0</v>
      </c>
      <c r="B6" s="8" t="s">
        <v>38</v>
      </c>
      <c r="C6" s="8" t="s">
        <v>37</v>
      </c>
      <c r="D6" s="8" t="s">
        <v>28</v>
      </c>
      <c r="E6" s="12">
        <v>45695.0</v>
      </c>
      <c r="F6" s="8" t="s">
        <v>39</v>
      </c>
      <c r="G6" s="8" t="s">
        <v>40</v>
      </c>
      <c r="H6" s="8" t="s">
        <v>41</v>
      </c>
      <c r="I6" s="8">
        <v>1010.0</v>
      </c>
    </row>
    <row r="7">
      <c r="A7" s="8">
        <v>5.0</v>
      </c>
      <c r="B7" s="8" t="s">
        <v>34</v>
      </c>
      <c r="C7" s="8" t="s">
        <v>42</v>
      </c>
      <c r="D7" s="8" t="s">
        <v>43</v>
      </c>
      <c r="E7" s="12">
        <v>45767.0</v>
      </c>
      <c r="F7" s="8">
        <v>20.45</v>
      </c>
      <c r="G7" s="8" t="s">
        <v>36</v>
      </c>
      <c r="H7" s="8" t="s">
        <v>33</v>
      </c>
      <c r="I7" s="8">
        <v>1085.0</v>
      </c>
    </row>
    <row r="8">
      <c r="A8" s="8">
        <v>6.0</v>
      </c>
      <c r="B8" s="8" t="s">
        <v>34</v>
      </c>
      <c r="C8" s="8" t="s">
        <v>27</v>
      </c>
      <c r="D8" s="8" t="s">
        <v>28</v>
      </c>
      <c r="E8" s="12">
        <v>45692.0</v>
      </c>
      <c r="F8" s="8">
        <v>99.0</v>
      </c>
      <c r="G8" s="8" t="s">
        <v>40</v>
      </c>
      <c r="H8" s="8" t="s">
        <v>30</v>
      </c>
      <c r="I8" s="8">
        <v>1041.0</v>
      </c>
    </row>
    <row r="9">
      <c r="A9" s="8">
        <v>7.0</v>
      </c>
      <c r="B9" s="8" t="s">
        <v>34</v>
      </c>
      <c r="C9" s="8" t="s">
        <v>27</v>
      </c>
      <c r="D9" s="8" t="s">
        <v>32</v>
      </c>
      <c r="E9" s="12">
        <v>45765.0</v>
      </c>
      <c r="F9" s="8">
        <v>11.29</v>
      </c>
      <c r="G9" s="8" t="s">
        <v>36</v>
      </c>
      <c r="H9" s="8" t="s">
        <v>33</v>
      </c>
      <c r="I9" s="8">
        <v>1083.0</v>
      </c>
    </row>
    <row r="10">
      <c r="A10" s="8">
        <v>8.0</v>
      </c>
      <c r="B10" s="8" t="s">
        <v>44</v>
      </c>
      <c r="C10" s="8" t="s">
        <v>27</v>
      </c>
      <c r="D10" s="8" t="s">
        <v>43</v>
      </c>
      <c r="E10" s="12">
        <v>45721.0</v>
      </c>
      <c r="F10" s="8">
        <v>56.2</v>
      </c>
      <c r="H10" s="8" t="s">
        <v>30</v>
      </c>
      <c r="I10" s="8">
        <v>1051.0</v>
      </c>
    </row>
    <row r="11">
      <c r="A11" s="8">
        <v>9.0</v>
      </c>
      <c r="B11" s="8" t="s">
        <v>31</v>
      </c>
      <c r="C11" s="8" t="s">
        <v>42</v>
      </c>
      <c r="D11" s="8" t="s">
        <v>32</v>
      </c>
      <c r="E11" s="12">
        <v>45704.0</v>
      </c>
      <c r="F11" s="8">
        <v>19.52</v>
      </c>
      <c r="G11" s="8" t="s">
        <v>40</v>
      </c>
      <c r="H11" s="8" t="s">
        <v>30</v>
      </c>
      <c r="I11" s="8">
        <v>1054.0</v>
      </c>
    </row>
    <row r="12">
      <c r="A12" s="8">
        <v>10.0</v>
      </c>
      <c r="B12" s="8" t="s">
        <v>44</v>
      </c>
      <c r="C12" s="8" t="s">
        <v>42</v>
      </c>
      <c r="D12" s="8" t="s">
        <v>43</v>
      </c>
      <c r="E12" s="12">
        <v>45734.0</v>
      </c>
      <c r="F12" s="8">
        <v>6.09</v>
      </c>
      <c r="G12" s="8" t="s">
        <v>29</v>
      </c>
      <c r="H12" s="8" t="s">
        <v>30</v>
      </c>
      <c r="I12" s="8">
        <v>1068.0</v>
      </c>
    </row>
    <row r="13">
      <c r="A13" s="8">
        <v>11.0</v>
      </c>
      <c r="B13" s="8" t="s">
        <v>26</v>
      </c>
      <c r="C13" s="8" t="s">
        <v>45</v>
      </c>
      <c r="D13" s="8" t="s">
        <v>43</v>
      </c>
      <c r="E13" s="12">
        <v>45754.0</v>
      </c>
      <c r="F13" s="8">
        <v>95.61</v>
      </c>
      <c r="G13" s="8" t="s">
        <v>36</v>
      </c>
      <c r="H13" s="8" t="s">
        <v>30</v>
      </c>
      <c r="I13" s="8">
        <v>1097.0</v>
      </c>
    </row>
    <row r="14">
      <c r="A14" s="8">
        <v>12.0</v>
      </c>
      <c r="B14" s="8" t="s">
        <v>34</v>
      </c>
      <c r="C14" s="8" t="s">
        <v>37</v>
      </c>
      <c r="D14" s="8" t="s">
        <v>28</v>
      </c>
      <c r="E14" s="12">
        <v>45680.0</v>
      </c>
      <c r="F14" s="8">
        <v>56.24</v>
      </c>
      <c r="G14" s="8" t="s">
        <v>29</v>
      </c>
      <c r="H14" s="8" t="s">
        <v>30</v>
      </c>
      <c r="I14" s="8">
        <v>1041.0</v>
      </c>
    </row>
    <row r="15">
      <c r="B15" s="8" t="s">
        <v>26</v>
      </c>
      <c r="C15" s="8" t="s">
        <v>37</v>
      </c>
      <c r="D15" s="8" t="s">
        <v>28</v>
      </c>
      <c r="E15" s="12">
        <v>45720.0</v>
      </c>
      <c r="F15" s="8">
        <v>94.96</v>
      </c>
      <c r="G15" s="8" t="s">
        <v>29</v>
      </c>
      <c r="H15" s="8" t="s">
        <v>30</v>
      </c>
      <c r="I15" s="8">
        <v>1062.0</v>
      </c>
    </row>
    <row r="16">
      <c r="A16" s="8">
        <v>14.0</v>
      </c>
      <c r="B16" s="8" t="s">
        <v>38</v>
      </c>
      <c r="C16" s="8" t="s">
        <v>27</v>
      </c>
      <c r="D16" s="8" t="s">
        <v>28</v>
      </c>
      <c r="E16" s="12">
        <v>45762.0</v>
      </c>
      <c r="F16" s="8">
        <v>20.69</v>
      </c>
      <c r="H16" s="8" t="s">
        <v>33</v>
      </c>
      <c r="I16" s="8">
        <v>1069.0</v>
      </c>
    </row>
    <row r="17">
      <c r="A17" s="8">
        <v>15.0</v>
      </c>
      <c r="B17" s="8" t="s">
        <v>31</v>
      </c>
      <c r="C17" s="8" t="s">
        <v>37</v>
      </c>
      <c r="D17" s="8" t="s">
        <v>35</v>
      </c>
      <c r="E17" s="12">
        <v>45754.0</v>
      </c>
      <c r="F17" s="8">
        <v>46.62</v>
      </c>
      <c r="H17" s="8" t="s">
        <v>33</v>
      </c>
      <c r="I17" s="8">
        <v>1031.0</v>
      </c>
    </row>
    <row r="18">
      <c r="A18" s="8">
        <v>16.0</v>
      </c>
      <c r="B18" s="8" t="s">
        <v>34</v>
      </c>
      <c r="C18" s="8" t="s">
        <v>27</v>
      </c>
      <c r="D18" s="8" t="s">
        <v>28</v>
      </c>
      <c r="E18" s="8" t="s">
        <v>46</v>
      </c>
      <c r="F18" s="8">
        <v>10.59</v>
      </c>
      <c r="G18" s="8" t="s">
        <v>29</v>
      </c>
      <c r="H18" s="8" t="s">
        <v>33</v>
      </c>
      <c r="I18" s="8">
        <v>1042.0</v>
      </c>
    </row>
    <row r="19">
      <c r="A19" s="8">
        <v>17.0</v>
      </c>
      <c r="B19" s="8" t="s">
        <v>26</v>
      </c>
      <c r="C19" s="8" t="s">
        <v>42</v>
      </c>
      <c r="D19" s="8" t="s">
        <v>28</v>
      </c>
      <c r="E19" s="12">
        <v>45667.0</v>
      </c>
      <c r="F19" s="8">
        <v>88.83</v>
      </c>
      <c r="H19" s="8" t="s">
        <v>33</v>
      </c>
      <c r="I19" s="8">
        <v>1100.0</v>
      </c>
    </row>
    <row r="20">
      <c r="A20" s="8">
        <v>18.0</v>
      </c>
      <c r="B20" s="8" t="s">
        <v>31</v>
      </c>
      <c r="C20" s="8" t="s">
        <v>45</v>
      </c>
      <c r="D20" s="8" t="s">
        <v>32</v>
      </c>
      <c r="E20" s="12">
        <v>45718.0</v>
      </c>
      <c r="F20" s="8">
        <v>44.05</v>
      </c>
      <c r="G20" s="8" t="s">
        <v>29</v>
      </c>
      <c r="H20" s="8" t="s">
        <v>30</v>
      </c>
      <c r="I20" s="8">
        <v>1083.0</v>
      </c>
    </row>
    <row r="21">
      <c r="A21" s="8">
        <v>19.0</v>
      </c>
      <c r="B21" s="8" t="s">
        <v>44</v>
      </c>
      <c r="C21" s="8" t="s">
        <v>37</v>
      </c>
      <c r="D21" s="8" t="s">
        <v>32</v>
      </c>
      <c r="E21" s="12">
        <v>45740.0</v>
      </c>
      <c r="F21" s="8">
        <v>47.62</v>
      </c>
      <c r="H21" s="8" t="s">
        <v>33</v>
      </c>
      <c r="I21" s="8">
        <v>1035.0</v>
      </c>
    </row>
    <row r="22">
      <c r="A22" s="8">
        <v>20.0</v>
      </c>
      <c r="B22" s="8" t="s">
        <v>34</v>
      </c>
      <c r="C22" s="8" t="s">
        <v>42</v>
      </c>
      <c r="D22" s="8" t="s">
        <v>32</v>
      </c>
      <c r="E22" s="12">
        <v>45717.0</v>
      </c>
      <c r="F22" s="8">
        <v>84.42</v>
      </c>
      <c r="G22" s="8" t="s">
        <v>29</v>
      </c>
      <c r="H22" s="8" t="s">
        <v>33</v>
      </c>
      <c r="I22" s="8">
        <v>1021.0</v>
      </c>
    </row>
    <row r="23">
      <c r="A23" s="8">
        <v>21.0</v>
      </c>
      <c r="B23" s="8" t="s">
        <v>31</v>
      </c>
      <c r="C23" s="8" t="s">
        <v>42</v>
      </c>
      <c r="D23" s="8" t="s">
        <v>32</v>
      </c>
      <c r="E23" s="12">
        <v>45710.0</v>
      </c>
      <c r="F23" s="8" t="s">
        <v>39</v>
      </c>
      <c r="H23" s="8" t="s">
        <v>41</v>
      </c>
      <c r="I23" s="8">
        <v>1100.0</v>
      </c>
    </row>
    <row r="24">
      <c r="A24" s="8">
        <v>22.0</v>
      </c>
      <c r="B24" s="8" t="s">
        <v>44</v>
      </c>
      <c r="C24" s="8" t="s">
        <v>42</v>
      </c>
      <c r="D24" s="8" t="s">
        <v>28</v>
      </c>
      <c r="E24" s="12">
        <v>45758.0</v>
      </c>
      <c r="F24" s="8">
        <v>10.56</v>
      </c>
      <c r="G24" s="8" t="s">
        <v>29</v>
      </c>
      <c r="H24" s="8" t="s">
        <v>30</v>
      </c>
      <c r="I24" s="8">
        <v>1040.0</v>
      </c>
    </row>
    <row r="25">
      <c r="A25" s="8">
        <v>23.0</v>
      </c>
      <c r="B25" s="8" t="s">
        <v>44</v>
      </c>
      <c r="C25" s="8" t="s">
        <v>27</v>
      </c>
      <c r="D25" s="8" t="s">
        <v>32</v>
      </c>
      <c r="E25" s="12">
        <v>45665.0</v>
      </c>
      <c r="F25" s="8">
        <v>22.65</v>
      </c>
      <c r="G25" s="8" t="s">
        <v>29</v>
      </c>
      <c r="H25" s="8" t="s">
        <v>30</v>
      </c>
      <c r="I25" s="8">
        <v>1030.0</v>
      </c>
    </row>
    <row r="26">
      <c r="A26" s="8">
        <v>24.0</v>
      </c>
      <c r="B26" s="8" t="s">
        <v>38</v>
      </c>
      <c r="C26" s="8" t="s">
        <v>27</v>
      </c>
      <c r="D26" s="8" t="s">
        <v>32</v>
      </c>
      <c r="E26" s="12">
        <v>45709.0</v>
      </c>
      <c r="F26" s="8">
        <v>60.45</v>
      </c>
      <c r="G26" s="8" t="s">
        <v>36</v>
      </c>
      <c r="H26" s="8" t="s">
        <v>41</v>
      </c>
      <c r="I26" s="8">
        <v>1026.0</v>
      </c>
    </row>
    <row r="27">
      <c r="A27" s="8">
        <v>25.0</v>
      </c>
      <c r="B27" s="8" t="s">
        <v>31</v>
      </c>
      <c r="C27" s="8" t="s">
        <v>37</v>
      </c>
      <c r="D27" s="8" t="s">
        <v>35</v>
      </c>
      <c r="E27" s="12">
        <v>45743.0</v>
      </c>
      <c r="F27" s="8">
        <v>48.44</v>
      </c>
      <c r="G27" s="8" t="s">
        <v>29</v>
      </c>
      <c r="H27" s="8" t="s">
        <v>33</v>
      </c>
      <c r="I27" s="8">
        <v>1058.0</v>
      </c>
    </row>
    <row r="28">
      <c r="A28" s="8">
        <v>26.0</v>
      </c>
      <c r="B28" s="8" t="s">
        <v>34</v>
      </c>
      <c r="C28" s="8" t="s">
        <v>45</v>
      </c>
      <c r="D28" s="8" t="s">
        <v>28</v>
      </c>
      <c r="E28" s="12">
        <v>45737.0</v>
      </c>
      <c r="F28" s="8">
        <v>38.16</v>
      </c>
      <c r="G28" s="8" t="s">
        <v>29</v>
      </c>
      <c r="H28" s="8" t="s">
        <v>33</v>
      </c>
      <c r="I28" s="8">
        <v>1047.0</v>
      </c>
    </row>
    <row r="29">
      <c r="A29" s="8">
        <v>27.0</v>
      </c>
      <c r="B29" s="8" t="s">
        <v>38</v>
      </c>
      <c r="C29" s="8" t="s">
        <v>37</v>
      </c>
      <c r="D29" s="8" t="s">
        <v>32</v>
      </c>
      <c r="E29" s="12">
        <v>45694.0</v>
      </c>
      <c r="F29" s="8">
        <v>93.52</v>
      </c>
      <c r="G29" s="8" t="s">
        <v>29</v>
      </c>
      <c r="H29" s="8" t="s">
        <v>33</v>
      </c>
      <c r="I29" s="8">
        <v>1033.0</v>
      </c>
    </row>
    <row r="30">
      <c r="A30" s="8">
        <v>28.0</v>
      </c>
      <c r="B30" s="8" t="s">
        <v>38</v>
      </c>
      <c r="C30" s="8" t="s">
        <v>27</v>
      </c>
      <c r="D30" s="8" t="s">
        <v>43</v>
      </c>
      <c r="E30" s="12">
        <v>45672.0</v>
      </c>
      <c r="F30" s="8">
        <v>37.57</v>
      </c>
      <c r="G30" s="8" t="s">
        <v>36</v>
      </c>
      <c r="H30" s="8" t="s">
        <v>30</v>
      </c>
      <c r="I30" s="8">
        <v>1062.0</v>
      </c>
    </row>
    <row r="31">
      <c r="A31" s="8">
        <v>29.0</v>
      </c>
      <c r="B31" s="8" t="s">
        <v>34</v>
      </c>
      <c r="C31" s="8" t="s">
        <v>45</v>
      </c>
      <c r="D31" s="8" t="s">
        <v>35</v>
      </c>
      <c r="E31" s="12">
        <v>45690.0</v>
      </c>
      <c r="F31" s="8" t="s">
        <v>39</v>
      </c>
      <c r="G31" s="8" t="s">
        <v>36</v>
      </c>
      <c r="H31" s="8" t="s">
        <v>33</v>
      </c>
      <c r="I31" s="8">
        <v>1081.0</v>
      </c>
    </row>
    <row r="32">
      <c r="A32" s="8">
        <v>30.0</v>
      </c>
      <c r="B32" s="8" t="s">
        <v>44</v>
      </c>
      <c r="C32" s="8" t="s">
        <v>42</v>
      </c>
      <c r="D32" s="8" t="s">
        <v>32</v>
      </c>
      <c r="E32" s="12">
        <v>45691.0</v>
      </c>
      <c r="F32" s="8">
        <v>70.65</v>
      </c>
      <c r="G32" s="8" t="s">
        <v>40</v>
      </c>
      <c r="H32" s="8" t="s">
        <v>30</v>
      </c>
      <c r="I32" s="8">
        <v>1004.0</v>
      </c>
    </row>
    <row r="33">
      <c r="A33" s="8">
        <v>31.0</v>
      </c>
      <c r="B33" s="8" t="s">
        <v>38</v>
      </c>
      <c r="C33" s="8" t="s">
        <v>27</v>
      </c>
      <c r="D33" s="8" t="s">
        <v>35</v>
      </c>
      <c r="E33" s="12">
        <v>45764.0</v>
      </c>
      <c r="F33" s="8">
        <v>90.4</v>
      </c>
      <c r="G33" s="8" t="s">
        <v>29</v>
      </c>
      <c r="H33" s="8" t="s">
        <v>41</v>
      </c>
      <c r="I33" s="8">
        <v>1026.0</v>
      </c>
    </row>
    <row r="34">
      <c r="A34" s="8">
        <v>32.0</v>
      </c>
      <c r="B34" s="8" t="s">
        <v>34</v>
      </c>
      <c r="C34" s="8" t="s">
        <v>37</v>
      </c>
      <c r="D34" s="8" t="s">
        <v>35</v>
      </c>
      <c r="E34" s="12">
        <v>45745.0</v>
      </c>
      <c r="F34" s="8">
        <v>92.95</v>
      </c>
      <c r="G34" s="8" t="s">
        <v>40</v>
      </c>
      <c r="H34" s="8" t="s">
        <v>33</v>
      </c>
      <c r="I34" s="8">
        <v>1022.0</v>
      </c>
    </row>
    <row r="35">
      <c r="A35" s="8">
        <v>33.0</v>
      </c>
      <c r="B35" s="8" t="s">
        <v>31</v>
      </c>
      <c r="C35" s="8" t="s">
        <v>37</v>
      </c>
      <c r="D35" s="8" t="s">
        <v>35</v>
      </c>
      <c r="E35" s="12">
        <v>45770.0</v>
      </c>
      <c r="F35" s="8">
        <v>82.02</v>
      </c>
      <c r="G35" s="8" t="s">
        <v>36</v>
      </c>
      <c r="H35" s="8" t="s">
        <v>33</v>
      </c>
      <c r="I35" s="8">
        <v>1100.0</v>
      </c>
    </row>
    <row r="36">
      <c r="A36" s="8">
        <v>34.0</v>
      </c>
      <c r="B36" s="8" t="s">
        <v>34</v>
      </c>
      <c r="C36" s="8" t="s">
        <v>42</v>
      </c>
      <c r="D36" s="8" t="s">
        <v>28</v>
      </c>
      <c r="E36" s="12">
        <v>45747.0</v>
      </c>
      <c r="F36" s="8">
        <v>38.22</v>
      </c>
      <c r="G36" s="8" t="s">
        <v>40</v>
      </c>
      <c r="H36" s="8" t="s">
        <v>33</v>
      </c>
      <c r="I36" s="8">
        <v>1003.0</v>
      </c>
    </row>
    <row r="37">
      <c r="A37" s="8">
        <v>35.0</v>
      </c>
      <c r="B37" s="8" t="s">
        <v>26</v>
      </c>
      <c r="C37" s="8" t="s">
        <v>37</v>
      </c>
      <c r="D37" s="8" t="s">
        <v>32</v>
      </c>
      <c r="E37" s="12">
        <v>45742.0</v>
      </c>
      <c r="F37" s="8">
        <v>65.94</v>
      </c>
      <c r="H37" s="8" t="s">
        <v>30</v>
      </c>
      <c r="I37" s="8">
        <v>1068.0</v>
      </c>
    </row>
    <row r="38">
      <c r="A38" s="8">
        <v>36.0</v>
      </c>
      <c r="B38" s="8" t="s">
        <v>34</v>
      </c>
      <c r="C38" s="8" t="s">
        <v>37</v>
      </c>
      <c r="D38" s="8" t="s">
        <v>28</v>
      </c>
      <c r="E38" s="12">
        <v>45700.0</v>
      </c>
      <c r="F38" s="8">
        <v>8.63</v>
      </c>
      <c r="H38" s="8" t="s">
        <v>41</v>
      </c>
      <c r="I38" s="8">
        <v>1093.0</v>
      </c>
    </row>
    <row r="39">
      <c r="A39" s="8">
        <v>37.0</v>
      </c>
      <c r="B39" s="8" t="s">
        <v>38</v>
      </c>
      <c r="C39" s="8" t="s">
        <v>45</v>
      </c>
      <c r="D39" s="8" t="s">
        <v>35</v>
      </c>
      <c r="E39" s="12">
        <v>45758.0</v>
      </c>
      <c r="F39" s="8">
        <v>9.22</v>
      </c>
      <c r="H39" s="8" t="s">
        <v>33</v>
      </c>
      <c r="I39" s="8">
        <v>1066.0</v>
      </c>
    </row>
    <row r="40">
      <c r="A40" s="8">
        <v>38.0</v>
      </c>
      <c r="B40" s="8" t="s">
        <v>31</v>
      </c>
      <c r="C40" s="8" t="s">
        <v>37</v>
      </c>
      <c r="D40" s="8" t="s">
        <v>35</v>
      </c>
      <c r="E40" s="12">
        <v>45776.0</v>
      </c>
      <c r="F40" s="8">
        <v>36.37</v>
      </c>
      <c r="G40" s="8" t="s">
        <v>36</v>
      </c>
      <c r="H40" s="8" t="s">
        <v>30</v>
      </c>
      <c r="I40" s="8">
        <v>1015.0</v>
      </c>
    </row>
    <row r="41">
      <c r="A41" s="8">
        <v>39.0</v>
      </c>
      <c r="B41" s="8" t="s">
        <v>38</v>
      </c>
      <c r="C41" s="8" t="s">
        <v>37</v>
      </c>
      <c r="D41" s="8" t="s">
        <v>35</v>
      </c>
      <c r="E41" s="12">
        <v>45750.0</v>
      </c>
      <c r="F41" s="8">
        <v>57.67</v>
      </c>
      <c r="G41" s="8" t="s">
        <v>40</v>
      </c>
      <c r="H41" s="8" t="s">
        <v>41</v>
      </c>
      <c r="I41" s="8">
        <v>1085.0</v>
      </c>
    </row>
    <row r="42">
      <c r="A42" s="8">
        <v>40.0</v>
      </c>
      <c r="B42" s="8" t="s">
        <v>31</v>
      </c>
      <c r="C42" s="8" t="s">
        <v>37</v>
      </c>
      <c r="D42" s="8" t="s">
        <v>35</v>
      </c>
      <c r="E42" s="12">
        <v>45778.0</v>
      </c>
      <c r="F42" s="8" t="s">
        <v>39</v>
      </c>
      <c r="G42" s="8" t="s">
        <v>36</v>
      </c>
      <c r="H42" s="8" t="s">
        <v>33</v>
      </c>
      <c r="I42" s="8">
        <v>1055.0</v>
      </c>
    </row>
    <row r="43">
      <c r="A43" s="8">
        <v>41.0</v>
      </c>
      <c r="B43" s="8" t="s">
        <v>26</v>
      </c>
      <c r="C43" s="8" t="s">
        <v>42</v>
      </c>
      <c r="D43" s="8" t="s">
        <v>35</v>
      </c>
      <c r="E43" s="12">
        <v>45758.0</v>
      </c>
      <c r="F43" s="8">
        <v>49.95</v>
      </c>
      <c r="G43" s="8" t="s">
        <v>40</v>
      </c>
      <c r="H43" s="8" t="s">
        <v>30</v>
      </c>
      <c r="I43" s="8">
        <v>1010.0</v>
      </c>
    </row>
    <row r="44">
      <c r="A44" s="8">
        <v>42.0</v>
      </c>
      <c r="B44" s="8" t="s">
        <v>38</v>
      </c>
      <c r="C44" s="8" t="s">
        <v>37</v>
      </c>
      <c r="D44" s="8" t="s">
        <v>32</v>
      </c>
      <c r="E44" s="12">
        <v>45694.0</v>
      </c>
      <c r="F44" s="8">
        <v>68.92</v>
      </c>
      <c r="G44" s="8" t="s">
        <v>40</v>
      </c>
      <c r="H44" s="8" t="s">
        <v>33</v>
      </c>
      <c r="I44" s="8">
        <v>1018.0</v>
      </c>
    </row>
    <row r="45">
      <c r="A45" s="8">
        <v>43.0</v>
      </c>
      <c r="B45" s="8" t="s">
        <v>44</v>
      </c>
      <c r="C45" s="8" t="s">
        <v>45</v>
      </c>
      <c r="D45" s="8" t="s">
        <v>35</v>
      </c>
      <c r="E45" s="12">
        <v>45661.0</v>
      </c>
      <c r="F45" s="8">
        <v>23.47</v>
      </c>
      <c r="H45" s="8" t="s">
        <v>41</v>
      </c>
      <c r="I45" s="8">
        <v>1051.0</v>
      </c>
    </row>
    <row r="46">
      <c r="A46" s="8">
        <v>44.0</v>
      </c>
      <c r="B46" s="8" t="s">
        <v>34</v>
      </c>
      <c r="C46" s="8" t="s">
        <v>45</v>
      </c>
      <c r="D46" s="8" t="s">
        <v>35</v>
      </c>
      <c r="E46" s="12">
        <v>45689.0</v>
      </c>
      <c r="F46" s="8">
        <v>71.11</v>
      </c>
      <c r="H46" s="8" t="s">
        <v>33</v>
      </c>
      <c r="I46" s="8">
        <v>1071.0</v>
      </c>
    </row>
    <row r="47">
      <c r="A47" s="8">
        <v>45.0</v>
      </c>
      <c r="B47" s="8" t="s">
        <v>34</v>
      </c>
      <c r="C47" s="8" t="s">
        <v>42</v>
      </c>
      <c r="D47" s="8" t="s">
        <v>28</v>
      </c>
      <c r="E47" s="12">
        <v>45689.0</v>
      </c>
      <c r="F47" s="8">
        <v>98.85</v>
      </c>
      <c r="G47" s="8" t="s">
        <v>36</v>
      </c>
      <c r="H47" s="8" t="s">
        <v>41</v>
      </c>
      <c r="I47" s="8">
        <v>1078.0</v>
      </c>
    </row>
    <row r="48">
      <c r="A48" s="8">
        <v>46.0</v>
      </c>
      <c r="B48" s="8" t="s">
        <v>38</v>
      </c>
      <c r="C48" s="8" t="s">
        <v>42</v>
      </c>
      <c r="D48" s="8" t="s">
        <v>35</v>
      </c>
      <c r="E48" s="12">
        <v>45762.0</v>
      </c>
      <c r="F48" s="8">
        <v>50.09</v>
      </c>
      <c r="G48" s="8" t="s">
        <v>36</v>
      </c>
      <c r="H48" s="8" t="s">
        <v>33</v>
      </c>
      <c r="I48" s="8">
        <v>1081.0</v>
      </c>
    </row>
    <row r="49">
      <c r="A49" s="8">
        <v>47.0</v>
      </c>
      <c r="B49" s="8" t="s">
        <v>38</v>
      </c>
      <c r="C49" s="8" t="s">
        <v>42</v>
      </c>
      <c r="D49" s="8" t="s">
        <v>28</v>
      </c>
      <c r="E49" s="12">
        <v>45693.0</v>
      </c>
      <c r="F49" s="8">
        <v>32.14</v>
      </c>
      <c r="G49" s="8" t="s">
        <v>36</v>
      </c>
      <c r="H49" s="8" t="s">
        <v>41</v>
      </c>
      <c r="I49" s="8">
        <v>1040.0</v>
      </c>
    </row>
    <row r="50">
      <c r="A50" s="8">
        <v>48.0</v>
      </c>
      <c r="B50" s="8" t="s">
        <v>31</v>
      </c>
      <c r="C50" s="8" t="s">
        <v>27</v>
      </c>
      <c r="D50" s="8" t="s">
        <v>28</v>
      </c>
      <c r="E50" s="12">
        <v>45772.0</v>
      </c>
      <c r="F50" s="8">
        <v>25.33</v>
      </c>
      <c r="H50" s="8" t="s">
        <v>41</v>
      </c>
      <c r="I50" s="8">
        <v>1042.0</v>
      </c>
    </row>
    <row r="51">
      <c r="A51" s="8">
        <v>49.0</v>
      </c>
      <c r="B51" s="8" t="s">
        <v>34</v>
      </c>
      <c r="C51" s="8" t="s">
        <v>27</v>
      </c>
      <c r="D51" s="8" t="s">
        <v>35</v>
      </c>
      <c r="E51" s="12">
        <v>45727.0</v>
      </c>
      <c r="F51" s="8">
        <v>94.88</v>
      </c>
      <c r="G51" s="8" t="s">
        <v>29</v>
      </c>
      <c r="H51" s="8" t="s">
        <v>30</v>
      </c>
      <c r="I51" s="8">
        <v>1048.0</v>
      </c>
    </row>
    <row r="52">
      <c r="B52" s="8" t="s">
        <v>26</v>
      </c>
      <c r="C52" s="8" t="s">
        <v>37</v>
      </c>
      <c r="D52" s="8" t="s">
        <v>35</v>
      </c>
      <c r="E52" s="12">
        <v>45719.0</v>
      </c>
      <c r="F52" s="8">
        <v>44.81</v>
      </c>
      <c r="G52" s="8" t="s">
        <v>40</v>
      </c>
      <c r="H52" s="8" t="s">
        <v>41</v>
      </c>
      <c r="I52" s="8">
        <v>1028.0</v>
      </c>
    </row>
    <row r="53">
      <c r="A53" s="8">
        <v>51.0</v>
      </c>
      <c r="B53" s="8" t="s">
        <v>34</v>
      </c>
      <c r="C53" s="8" t="s">
        <v>42</v>
      </c>
      <c r="D53" s="8" t="s">
        <v>43</v>
      </c>
      <c r="E53" s="12">
        <v>45692.0</v>
      </c>
      <c r="F53" s="8">
        <v>73.8</v>
      </c>
      <c r="H53" s="8" t="s">
        <v>33</v>
      </c>
      <c r="I53" s="8">
        <v>1079.0</v>
      </c>
    </row>
    <row r="54">
      <c r="A54" s="8">
        <v>52.0</v>
      </c>
      <c r="B54" s="8" t="s">
        <v>44</v>
      </c>
      <c r="C54" s="8" t="s">
        <v>45</v>
      </c>
      <c r="D54" s="8" t="s">
        <v>32</v>
      </c>
      <c r="E54" s="12">
        <v>45726.0</v>
      </c>
      <c r="F54" s="8">
        <v>48.86</v>
      </c>
      <c r="G54" s="8" t="s">
        <v>29</v>
      </c>
      <c r="H54" s="8" t="s">
        <v>41</v>
      </c>
      <c r="I54" s="8">
        <v>1048.0</v>
      </c>
    </row>
    <row r="55">
      <c r="A55" s="8">
        <v>53.0</v>
      </c>
      <c r="B55" s="8" t="s">
        <v>26</v>
      </c>
      <c r="C55" s="8" t="s">
        <v>37</v>
      </c>
      <c r="D55" s="8" t="s">
        <v>35</v>
      </c>
      <c r="E55" s="12">
        <v>45699.0</v>
      </c>
      <c r="F55" s="8">
        <v>45.05</v>
      </c>
      <c r="G55" s="8" t="s">
        <v>29</v>
      </c>
      <c r="H55" s="8" t="s">
        <v>41</v>
      </c>
      <c r="I55" s="8">
        <v>1002.0</v>
      </c>
    </row>
    <row r="56">
      <c r="A56" s="8">
        <v>54.0</v>
      </c>
      <c r="B56" s="8" t="s">
        <v>26</v>
      </c>
      <c r="C56" s="8" t="s">
        <v>27</v>
      </c>
      <c r="D56" s="8" t="s">
        <v>32</v>
      </c>
      <c r="E56" s="12">
        <v>45753.0</v>
      </c>
      <c r="F56" s="8">
        <v>76.65</v>
      </c>
      <c r="G56" s="8" t="s">
        <v>40</v>
      </c>
      <c r="H56" s="8" t="s">
        <v>33</v>
      </c>
      <c r="I56" s="8">
        <v>1002.0</v>
      </c>
    </row>
    <row r="57">
      <c r="A57" s="8">
        <v>55.0</v>
      </c>
      <c r="B57" s="8" t="s">
        <v>31</v>
      </c>
      <c r="C57" s="8" t="s">
        <v>42</v>
      </c>
      <c r="D57" s="8" t="s">
        <v>32</v>
      </c>
      <c r="E57" s="12">
        <v>45737.0</v>
      </c>
      <c r="F57" s="8">
        <v>71.45</v>
      </c>
      <c r="G57" s="8" t="s">
        <v>36</v>
      </c>
      <c r="H57" s="8" t="s">
        <v>33</v>
      </c>
      <c r="I57" s="8">
        <v>1077.0</v>
      </c>
    </row>
    <row r="58">
      <c r="A58" s="8">
        <v>56.0</v>
      </c>
      <c r="B58" s="8" t="s">
        <v>34</v>
      </c>
      <c r="C58" s="8" t="s">
        <v>27</v>
      </c>
      <c r="D58" s="8" t="s">
        <v>43</v>
      </c>
      <c r="E58" s="12">
        <v>45735.0</v>
      </c>
      <c r="F58" s="8" t="s">
        <v>39</v>
      </c>
      <c r="G58" s="8" t="s">
        <v>36</v>
      </c>
      <c r="H58" s="8" t="s">
        <v>30</v>
      </c>
      <c r="I58" s="8">
        <v>1086.0</v>
      </c>
    </row>
    <row r="59">
      <c r="A59" s="8">
        <v>57.0</v>
      </c>
      <c r="B59" s="8" t="s">
        <v>44</v>
      </c>
      <c r="C59" s="8" t="s">
        <v>27</v>
      </c>
      <c r="D59" s="8" t="s">
        <v>32</v>
      </c>
      <c r="E59" s="12">
        <v>45774.0</v>
      </c>
      <c r="F59" s="8">
        <v>28.07</v>
      </c>
      <c r="G59" s="8" t="s">
        <v>36</v>
      </c>
      <c r="H59" s="8" t="s">
        <v>30</v>
      </c>
      <c r="I59" s="8">
        <v>1076.0</v>
      </c>
    </row>
    <row r="60">
      <c r="A60" s="8">
        <v>58.0</v>
      </c>
      <c r="B60" s="8" t="s">
        <v>38</v>
      </c>
      <c r="C60" s="8" t="s">
        <v>45</v>
      </c>
      <c r="D60" s="8" t="s">
        <v>43</v>
      </c>
      <c r="E60" s="12">
        <v>45761.0</v>
      </c>
      <c r="F60" s="8">
        <v>11.55</v>
      </c>
      <c r="G60" s="8" t="s">
        <v>36</v>
      </c>
      <c r="H60" s="8" t="s">
        <v>33</v>
      </c>
      <c r="I60" s="8">
        <v>1053.0</v>
      </c>
    </row>
    <row r="61">
      <c r="A61" s="8">
        <v>59.0</v>
      </c>
      <c r="B61" s="8" t="s">
        <v>44</v>
      </c>
      <c r="C61" s="8" t="s">
        <v>37</v>
      </c>
      <c r="D61" s="8" t="s">
        <v>35</v>
      </c>
      <c r="E61" s="12">
        <v>45763.0</v>
      </c>
      <c r="F61" s="8">
        <v>74.71</v>
      </c>
      <c r="G61" s="8" t="s">
        <v>36</v>
      </c>
      <c r="H61" s="8" t="s">
        <v>30</v>
      </c>
      <c r="I61" s="8">
        <v>1068.0</v>
      </c>
    </row>
    <row r="62">
      <c r="A62" s="8">
        <v>60.0</v>
      </c>
      <c r="B62" s="8" t="s">
        <v>44</v>
      </c>
      <c r="C62" s="8" t="s">
        <v>37</v>
      </c>
      <c r="D62" s="8" t="s">
        <v>43</v>
      </c>
      <c r="E62" s="12">
        <v>45757.0</v>
      </c>
      <c r="F62" s="8">
        <v>13.23</v>
      </c>
      <c r="H62" s="8" t="s">
        <v>33</v>
      </c>
      <c r="I62" s="8">
        <v>1096.0</v>
      </c>
    </row>
    <row r="63">
      <c r="A63" s="8">
        <v>61.0</v>
      </c>
      <c r="B63" s="8" t="s">
        <v>44</v>
      </c>
      <c r="C63" s="8" t="s">
        <v>37</v>
      </c>
      <c r="D63" s="8" t="s">
        <v>32</v>
      </c>
      <c r="E63" s="12">
        <v>45717.0</v>
      </c>
      <c r="F63" s="8">
        <v>51.32</v>
      </c>
      <c r="G63" s="8" t="s">
        <v>36</v>
      </c>
      <c r="H63" s="8" t="s">
        <v>41</v>
      </c>
      <c r="I63" s="8">
        <v>1043.0</v>
      </c>
    </row>
    <row r="64">
      <c r="A64" s="8">
        <v>62.0</v>
      </c>
      <c r="B64" s="8" t="s">
        <v>26</v>
      </c>
      <c r="C64" s="8" t="s">
        <v>45</v>
      </c>
      <c r="D64" s="8" t="s">
        <v>28</v>
      </c>
      <c r="E64" s="12">
        <v>45693.0</v>
      </c>
      <c r="F64" s="8">
        <v>51.41</v>
      </c>
      <c r="G64" s="8" t="s">
        <v>40</v>
      </c>
      <c r="H64" s="8" t="s">
        <v>30</v>
      </c>
      <c r="I64" s="8">
        <v>1060.0</v>
      </c>
    </row>
    <row r="65">
      <c r="A65" s="8">
        <v>63.0</v>
      </c>
      <c r="B65" s="8" t="s">
        <v>44</v>
      </c>
      <c r="C65" s="8" t="s">
        <v>45</v>
      </c>
      <c r="D65" s="8" t="s">
        <v>32</v>
      </c>
      <c r="E65" s="12">
        <v>45740.0</v>
      </c>
      <c r="F65" s="8">
        <v>28.11</v>
      </c>
      <c r="G65" s="8" t="s">
        <v>36</v>
      </c>
      <c r="H65" s="8" t="s">
        <v>41</v>
      </c>
      <c r="I65" s="8">
        <v>1070.0</v>
      </c>
    </row>
    <row r="66">
      <c r="A66" s="8">
        <v>64.0</v>
      </c>
      <c r="B66" s="8" t="s">
        <v>38</v>
      </c>
      <c r="C66" s="8" t="s">
        <v>37</v>
      </c>
      <c r="D66" s="8" t="s">
        <v>43</v>
      </c>
      <c r="E66" s="12">
        <v>45725.0</v>
      </c>
      <c r="F66" s="8">
        <v>28.88</v>
      </c>
      <c r="G66" s="8" t="s">
        <v>29</v>
      </c>
      <c r="H66" s="8" t="s">
        <v>30</v>
      </c>
      <c r="I66" s="8">
        <v>1024.0</v>
      </c>
    </row>
    <row r="67">
      <c r="A67" s="8">
        <v>65.0</v>
      </c>
      <c r="B67" s="8" t="s">
        <v>38</v>
      </c>
      <c r="C67" s="8" t="s">
        <v>27</v>
      </c>
      <c r="D67" s="8" t="s">
        <v>28</v>
      </c>
      <c r="E67" s="12">
        <v>45698.0</v>
      </c>
      <c r="F67" s="8">
        <v>73.84</v>
      </c>
      <c r="G67" s="8" t="s">
        <v>36</v>
      </c>
      <c r="H67" s="8" t="s">
        <v>33</v>
      </c>
      <c r="I67" s="8">
        <v>1024.0</v>
      </c>
    </row>
    <row r="68">
      <c r="A68" s="8">
        <v>66.0</v>
      </c>
      <c r="B68" s="8" t="s">
        <v>31</v>
      </c>
      <c r="C68" s="8" t="s">
        <v>37</v>
      </c>
      <c r="D68" s="8" t="s">
        <v>32</v>
      </c>
      <c r="E68" s="12">
        <v>45695.0</v>
      </c>
      <c r="F68" s="8">
        <v>9.32</v>
      </c>
      <c r="G68" s="8" t="s">
        <v>29</v>
      </c>
      <c r="H68" s="8" t="s">
        <v>30</v>
      </c>
      <c r="I68" s="8">
        <v>1037.0</v>
      </c>
    </row>
    <row r="69">
      <c r="A69" s="8">
        <v>67.0</v>
      </c>
      <c r="B69" s="8" t="s">
        <v>44</v>
      </c>
      <c r="C69" s="8" t="s">
        <v>45</v>
      </c>
      <c r="D69" s="8" t="s">
        <v>32</v>
      </c>
      <c r="E69" s="12">
        <v>45747.0</v>
      </c>
      <c r="F69" s="8">
        <v>46.84</v>
      </c>
      <c r="G69" s="8" t="s">
        <v>40</v>
      </c>
      <c r="H69" s="8" t="s">
        <v>33</v>
      </c>
      <c r="I69" s="8">
        <v>1032.0</v>
      </c>
    </row>
    <row r="70">
      <c r="A70" s="8">
        <v>68.0</v>
      </c>
      <c r="B70" s="8" t="s">
        <v>34</v>
      </c>
      <c r="C70" s="8" t="s">
        <v>45</v>
      </c>
      <c r="D70" s="8" t="s">
        <v>35</v>
      </c>
      <c r="E70" s="12">
        <v>45778.0</v>
      </c>
      <c r="F70" s="8">
        <v>70.21</v>
      </c>
      <c r="G70" s="8" t="s">
        <v>40</v>
      </c>
      <c r="H70" s="8" t="s">
        <v>33</v>
      </c>
      <c r="I70" s="8">
        <v>1072.0</v>
      </c>
    </row>
    <row r="71">
      <c r="A71" s="8">
        <v>69.0</v>
      </c>
      <c r="B71" s="8" t="s">
        <v>31</v>
      </c>
      <c r="C71" s="8" t="s">
        <v>45</v>
      </c>
      <c r="D71" s="8" t="s">
        <v>35</v>
      </c>
      <c r="E71" s="12">
        <v>45696.0</v>
      </c>
      <c r="F71" s="8">
        <v>26.44</v>
      </c>
      <c r="H71" s="8" t="s">
        <v>41</v>
      </c>
      <c r="I71" s="8">
        <v>1056.0</v>
      </c>
    </row>
    <row r="72">
      <c r="A72" s="8">
        <v>70.0</v>
      </c>
      <c r="B72" s="8" t="s">
        <v>44</v>
      </c>
      <c r="C72" s="8" t="s">
        <v>37</v>
      </c>
      <c r="D72" s="8" t="s">
        <v>32</v>
      </c>
      <c r="E72" s="12">
        <v>45696.0</v>
      </c>
      <c r="F72" s="8">
        <v>95.02</v>
      </c>
      <c r="G72" s="8" t="s">
        <v>40</v>
      </c>
      <c r="H72" s="8" t="s">
        <v>30</v>
      </c>
      <c r="I72" s="8">
        <v>1027.0</v>
      </c>
    </row>
    <row r="73">
      <c r="A73" s="8">
        <v>71.0</v>
      </c>
      <c r="B73" s="8" t="s">
        <v>31</v>
      </c>
      <c r="C73" s="8" t="s">
        <v>27</v>
      </c>
      <c r="D73" s="8" t="s">
        <v>28</v>
      </c>
      <c r="E73" s="12">
        <v>45691.0</v>
      </c>
      <c r="F73" s="8">
        <v>43.81</v>
      </c>
      <c r="H73" s="8" t="s">
        <v>41</v>
      </c>
      <c r="I73" s="8">
        <v>1004.0</v>
      </c>
    </row>
    <row r="74">
      <c r="A74" s="8">
        <v>72.0</v>
      </c>
      <c r="B74" s="8" t="s">
        <v>26</v>
      </c>
      <c r="C74" s="8" t="s">
        <v>42</v>
      </c>
      <c r="D74" s="8" t="s">
        <v>32</v>
      </c>
      <c r="E74" s="12">
        <v>45687.0</v>
      </c>
      <c r="F74" s="8">
        <v>79.84</v>
      </c>
      <c r="G74" s="8" t="s">
        <v>40</v>
      </c>
      <c r="H74" s="8" t="s">
        <v>41</v>
      </c>
      <c r="I74" s="8">
        <v>1014.0</v>
      </c>
    </row>
    <row r="75">
      <c r="A75" s="8">
        <v>73.0</v>
      </c>
      <c r="B75" s="8" t="s">
        <v>31</v>
      </c>
      <c r="C75" s="8" t="s">
        <v>37</v>
      </c>
      <c r="D75" s="8" t="s">
        <v>28</v>
      </c>
      <c r="E75" s="12">
        <v>45727.0</v>
      </c>
      <c r="F75" s="8">
        <v>34.22</v>
      </c>
      <c r="G75" s="8" t="s">
        <v>36</v>
      </c>
      <c r="H75" s="8" t="s">
        <v>41</v>
      </c>
      <c r="I75" s="8">
        <v>1015.0</v>
      </c>
    </row>
    <row r="76">
      <c r="A76" s="8">
        <v>74.0</v>
      </c>
      <c r="B76" s="8" t="s">
        <v>44</v>
      </c>
      <c r="C76" s="8" t="s">
        <v>37</v>
      </c>
      <c r="D76" s="8" t="s">
        <v>35</v>
      </c>
      <c r="E76" s="12">
        <v>45717.0</v>
      </c>
      <c r="F76" s="8">
        <v>89.5</v>
      </c>
      <c r="G76" s="8" t="s">
        <v>36</v>
      </c>
      <c r="H76" s="8" t="s">
        <v>30</v>
      </c>
      <c r="I76" s="8">
        <v>1032.0</v>
      </c>
    </row>
    <row r="77">
      <c r="A77" s="8">
        <v>75.0</v>
      </c>
      <c r="B77" s="8" t="s">
        <v>38</v>
      </c>
      <c r="C77" s="8" t="s">
        <v>45</v>
      </c>
      <c r="D77" s="8" t="s">
        <v>43</v>
      </c>
      <c r="E77" s="12">
        <v>45661.0</v>
      </c>
      <c r="F77" s="8">
        <v>21.64</v>
      </c>
      <c r="H77" s="8" t="s">
        <v>41</v>
      </c>
      <c r="I77" s="8">
        <v>1023.0</v>
      </c>
    </row>
    <row r="78">
      <c r="A78" s="8">
        <v>76.0</v>
      </c>
      <c r="B78" s="8" t="s">
        <v>44</v>
      </c>
      <c r="C78" s="8" t="s">
        <v>45</v>
      </c>
      <c r="D78" s="8" t="s">
        <v>35</v>
      </c>
      <c r="E78" s="12">
        <v>45732.0</v>
      </c>
      <c r="F78" s="8">
        <v>68.66</v>
      </c>
      <c r="G78" s="8" t="s">
        <v>40</v>
      </c>
      <c r="H78" s="8" t="s">
        <v>41</v>
      </c>
      <c r="I78" s="8">
        <v>1052.0</v>
      </c>
    </row>
    <row r="79">
      <c r="A79" s="8">
        <v>77.0</v>
      </c>
      <c r="B79" s="8" t="s">
        <v>44</v>
      </c>
      <c r="C79" s="8" t="s">
        <v>45</v>
      </c>
      <c r="D79" s="8" t="s">
        <v>35</v>
      </c>
      <c r="E79" s="12">
        <v>45746.0</v>
      </c>
      <c r="F79" s="8">
        <v>16.01</v>
      </c>
      <c r="H79" s="8" t="s">
        <v>30</v>
      </c>
      <c r="I79" s="8">
        <v>1000.0</v>
      </c>
    </row>
    <row r="80">
      <c r="A80" s="8">
        <v>78.0</v>
      </c>
      <c r="B80" s="8" t="s">
        <v>44</v>
      </c>
      <c r="C80" s="8" t="s">
        <v>42</v>
      </c>
      <c r="D80" s="8" t="s">
        <v>32</v>
      </c>
      <c r="E80" s="12">
        <v>45742.0</v>
      </c>
      <c r="F80" s="8">
        <v>76.86</v>
      </c>
      <c r="H80" s="8" t="s">
        <v>33</v>
      </c>
      <c r="I80" s="8">
        <v>1026.0</v>
      </c>
    </row>
    <row r="81">
      <c r="A81" s="8">
        <v>79.0</v>
      </c>
      <c r="B81" s="8" t="s">
        <v>26</v>
      </c>
      <c r="C81" s="8" t="s">
        <v>42</v>
      </c>
      <c r="D81" s="8" t="s">
        <v>35</v>
      </c>
      <c r="E81" s="12">
        <v>45692.0</v>
      </c>
      <c r="F81" s="8">
        <v>62.84</v>
      </c>
      <c r="G81" s="8" t="s">
        <v>40</v>
      </c>
      <c r="H81" s="8" t="s">
        <v>30</v>
      </c>
      <c r="I81" s="8">
        <v>1020.0</v>
      </c>
    </row>
    <row r="82">
      <c r="A82" s="8">
        <v>80.0</v>
      </c>
      <c r="B82" s="8" t="s">
        <v>38</v>
      </c>
      <c r="C82" s="8" t="s">
        <v>42</v>
      </c>
      <c r="D82" s="8" t="s">
        <v>32</v>
      </c>
      <c r="E82" s="12">
        <v>45697.0</v>
      </c>
      <c r="F82" s="8">
        <v>15.78</v>
      </c>
      <c r="G82" s="8" t="s">
        <v>29</v>
      </c>
      <c r="H82" s="8" t="s">
        <v>30</v>
      </c>
      <c r="I82" s="8">
        <v>1019.0</v>
      </c>
    </row>
    <row r="83">
      <c r="A83" s="8">
        <v>81.0</v>
      </c>
      <c r="B83" s="8" t="s">
        <v>26</v>
      </c>
      <c r="C83" s="8" t="s">
        <v>37</v>
      </c>
      <c r="D83" s="8" t="s">
        <v>35</v>
      </c>
      <c r="E83" s="12">
        <v>45721.0</v>
      </c>
      <c r="F83" s="8">
        <v>28.15</v>
      </c>
      <c r="G83" s="8" t="s">
        <v>40</v>
      </c>
      <c r="H83" s="8" t="s">
        <v>41</v>
      </c>
      <c r="I83" s="8">
        <v>1024.0</v>
      </c>
    </row>
    <row r="84">
      <c r="A84" s="8">
        <v>82.0</v>
      </c>
      <c r="B84" s="8" t="s">
        <v>31</v>
      </c>
      <c r="C84" s="8" t="s">
        <v>45</v>
      </c>
      <c r="D84" s="8" t="s">
        <v>43</v>
      </c>
      <c r="E84" s="12">
        <v>45775.0</v>
      </c>
      <c r="F84" s="8">
        <v>37.29</v>
      </c>
      <c r="G84" s="8" t="s">
        <v>36</v>
      </c>
      <c r="H84" s="8" t="s">
        <v>33</v>
      </c>
      <c r="I84" s="8">
        <v>1036.0</v>
      </c>
    </row>
    <row r="85">
      <c r="A85" s="8">
        <v>83.0</v>
      </c>
      <c r="B85" s="8" t="s">
        <v>38</v>
      </c>
      <c r="C85" s="8" t="s">
        <v>42</v>
      </c>
      <c r="D85" s="8" t="s">
        <v>28</v>
      </c>
      <c r="E85" s="12">
        <v>45750.0</v>
      </c>
      <c r="F85" s="8">
        <v>36.58</v>
      </c>
      <c r="H85" s="8" t="s">
        <v>41</v>
      </c>
      <c r="I85" s="8">
        <v>1041.0</v>
      </c>
    </row>
    <row r="86">
      <c r="A86" s="8">
        <v>84.0</v>
      </c>
      <c r="B86" s="8" t="s">
        <v>31</v>
      </c>
      <c r="C86" s="8" t="s">
        <v>42</v>
      </c>
      <c r="D86" s="8" t="s">
        <v>28</v>
      </c>
      <c r="E86" s="12">
        <v>45769.0</v>
      </c>
      <c r="F86" s="8">
        <v>35.23</v>
      </c>
      <c r="H86" s="8" t="s">
        <v>30</v>
      </c>
      <c r="I86" s="8">
        <v>1048.0</v>
      </c>
    </row>
    <row r="87">
      <c r="A87" s="8">
        <v>85.0</v>
      </c>
      <c r="B87" s="8" t="s">
        <v>31</v>
      </c>
      <c r="C87" s="8" t="s">
        <v>42</v>
      </c>
      <c r="D87" s="8" t="s">
        <v>32</v>
      </c>
      <c r="E87" s="12">
        <v>45707.0</v>
      </c>
      <c r="F87" s="8">
        <v>36.54</v>
      </c>
      <c r="G87" s="8" t="s">
        <v>29</v>
      </c>
      <c r="H87" s="8" t="s">
        <v>41</v>
      </c>
      <c r="I87" s="8">
        <v>1012.0</v>
      </c>
    </row>
    <row r="88">
      <c r="A88" s="8">
        <v>86.0</v>
      </c>
      <c r="B88" s="8" t="s">
        <v>34</v>
      </c>
      <c r="C88" s="8" t="s">
        <v>27</v>
      </c>
      <c r="D88" s="8" t="s">
        <v>35</v>
      </c>
      <c r="E88" s="12">
        <v>45725.0</v>
      </c>
      <c r="F88" s="8">
        <v>12.11</v>
      </c>
      <c r="G88" s="8" t="s">
        <v>36</v>
      </c>
      <c r="H88" s="8" t="s">
        <v>41</v>
      </c>
      <c r="I88" s="8">
        <v>1079.0</v>
      </c>
    </row>
    <row r="89">
      <c r="A89" s="8">
        <v>87.0</v>
      </c>
      <c r="B89" s="8" t="s">
        <v>34</v>
      </c>
      <c r="C89" s="8" t="s">
        <v>37</v>
      </c>
      <c r="D89" s="8" t="s">
        <v>35</v>
      </c>
      <c r="E89" s="12">
        <v>45746.0</v>
      </c>
      <c r="F89" s="8">
        <v>89.31</v>
      </c>
      <c r="H89" s="8" t="s">
        <v>30</v>
      </c>
      <c r="I89" s="8">
        <v>1004.0</v>
      </c>
    </row>
    <row r="90">
      <c r="A90" s="8">
        <v>88.0</v>
      </c>
      <c r="B90" s="8" t="s">
        <v>26</v>
      </c>
      <c r="C90" s="8" t="s">
        <v>27</v>
      </c>
      <c r="D90" s="8" t="s">
        <v>32</v>
      </c>
      <c r="E90" s="12">
        <v>45737.0</v>
      </c>
      <c r="F90" s="8">
        <v>65.21</v>
      </c>
      <c r="G90" s="8" t="s">
        <v>29</v>
      </c>
      <c r="H90" s="8" t="s">
        <v>41</v>
      </c>
      <c r="I90" s="8">
        <v>1021.0</v>
      </c>
    </row>
    <row r="91">
      <c r="A91" s="8">
        <v>89.0</v>
      </c>
      <c r="B91" s="8" t="s">
        <v>34</v>
      </c>
      <c r="C91" s="8" t="s">
        <v>45</v>
      </c>
      <c r="D91" s="8" t="s">
        <v>43</v>
      </c>
      <c r="E91" s="12">
        <v>45746.0</v>
      </c>
      <c r="F91" s="8">
        <v>40.61</v>
      </c>
      <c r="G91" s="8" t="s">
        <v>40</v>
      </c>
      <c r="H91" s="8" t="s">
        <v>33</v>
      </c>
      <c r="I91" s="8">
        <v>1067.0</v>
      </c>
    </row>
    <row r="92">
      <c r="A92" s="8">
        <v>90.0</v>
      </c>
      <c r="B92" s="8" t="s">
        <v>31</v>
      </c>
      <c r="C92" s="8" t="s">
        <v>27</v>
      </c>
      <c r="D92" s="8" t="s">
        <v>28</v>
      </c>
      <c r="E92" s="12">
        <v>45710.0</v>
      </c>
      <c r="F92" s="8">
        <v>63.87</v>
      </c>
      <c r="G92" s="8" t="s">
        <v>40</v>
      </c>
      <c r="H92" s="8" t="s">
        <v>41</v>
      </c>
      <c r="I92" s="8">
        <v>1074.0</v>
      </c>
    </row>
    <row r="93">
      <c r="A93" s="8">
        <v>91.0</v>
      </c>
      <c r="B93" s="8" t="s">
        <v>26</v>
      </c>
      <c r="C93" s="8" t="s">
        <v>42</v>
      </c>
      <c r="D93" s="8" t="s">
        <v>43</v>
      </c>
      <c r="E93" s="12">
        <v>45676.0</v>
      </c>
      <c r="F93" s="8">
        <v>49.2</v>
      </c>
      <c r="G93" s="8" t="s">
        <v>36</v>
      </c>
      <c r="H93" s="8" t="s">
        <v>30</v>
      </c>
      <c r="I93" s="8">
        <v>1069.0</v>
      </c>
    </row>
    <row r="94">
      <c r="A94" s="8">
        <v>92.0</v>
      </c>
      <c r="B94" s="8" t="s">
        <v>26</v>
      </c>
      <c r="C94" s="8" t="s">
        <v>37</v>
      </c>
      <c r="D94" s="8" t="s">
        <v>35</v>
      </c>
      <c r="E94" s="12">
        <v>45678.0</v>
      </c>
      <c r="F94" s="8">
        <v>33.7</v>
      </c>
      <c r="H94" s="8" t="s">
        <v>41</v>
      </c>
      <c r="I94" s="8">
        <v>1013.0</v>
      </c>
    </row>
    <row r="95">
      <c r="A95" s="8">
        <v>93.0</v>
      </c>
      <c r="B95" s="8" t="s">
        <v>26</v>
      </c>
      <c r="C95" s="8" t="s">
        <v>37</v>
      </c>
      <c r="D95" s="8" t="s">
        <v>43</v>
      </c>
      <c r="E95" s="8" t="s">
        <v>47</v>
      </c>
      <c r="F95" s="8">
        <v>42.6</v>
      </c>
      <c r="G95" s="8" t="s">
        <v>29</v>
      </c>
      <c r="H95" s="8" t="s">
        <v>30</v>
      </c>
      <c r="I95" s="8">
        <v>1087.0</v>
      </c>
    </row>
    <row r="96">
      <c r="A96" s="8">
        <v>94.0</v>
      </c>
      <c r="B96" s="8" t="s">
        <v>34</v>
      </c>
      <c r="C96" s="8" t="s">
        <v>42</v>
      </c>
      <c r="D96" s="8" t="s">
        <v>43</v>
      </c>
      <c r="E96" s="12">
        <v>45757.0</v>
      </c>
      <c r="F96" s="8">
        <v>81.18</v>
      </c>
      <c r="G96" s="8" t="s">
        <v>40</v>
      </c>
      <c r="H96" s="8" t="s">
        <v>30</v>
      </c>
      <c r="I96" s="8">
        <v>1024.0</v>
      </c>
    </row>
    <row r="97">
      <c r="A97" s="8">
        <v>95.0</v>
      </c>
      <c r="B97" s="8" t="s">
        <v>31</v>
      </c>
      <c r="C97" s="8" t="s">
        <v>45</v>
      </c>
      <c r="D97" s="8" t="s">
        <v>32</v>
      </c>
      <c r="E97" s="12">
        <v>45737.0</v>
      </c>
      <c r="F97" s="8">
        <v>60.06</v>
      </c>
      <c r="G97" s="8" t="s">
        <v>40</v>
      </c>
      <c r="H97" s="8" t="s">
        <v>33</v>
      </c>
      <c r="I97" s="8">
        <v>1037.0</v>
      </c>
    </row>
    <row r="98">
      <c r="A98" s="8">
        <v>96.0</v>
      </c>
      <c r="B98" s="8" t="s">
        <v>31</v>
      </c>
      <c r="C98" s="8" t="s">
        <v>27</v>
      </c>
      <c r="D98" s="8" t="s">
        <v>28</v>
      </c>
      <c r="E98" s="12">
        <v>45699.0</v>
      </c>
      <c r="F98" s="8">
        <v>39.76</v>
      </c>
      <c r="G98" s="8" t="s">
        <v>36</v>
      </c>
      <c r="H98" s="8" t="s">
        <v>33</v>
      </c>
      <c r="I98" s="8">
        <v>1032.0</v>
      </c>
    </row>
    <row r="99">
      <c r="A99" s="8">
        <v>97.0</v>
      </c>
      <c r="B99" s="8" t="s">
        <v>44</v>
      </c>
      <c r="C99" s="8" t="s">
        <v>37</v>
      </c>
      <c r="D99" s="8" t="s">
        <v>43</v>
      </c>
      <c r="E99" s="12">
        <v>45774.0</v>
      </c>
      <c r="F99" s="8">
        <v>12.15</v>
      </c>
      <c r="G99" s="8" t="s">
        <v>40</v>
      </c>
      <c r="H99" s="8" t="s">
        <v>30</v>
      </c>
      <c r="I99" s="8">
        <v>1092.0</v>
      </c>
    </row>
    <row r="100">
      <c r="A100" s="8">
        <v>98.0</v>
      </c>
      <c r="B100" s="8" t="s">
        <v>38</v>
      </c>
      <c r="C100" s="8" t="s">
        <v>37</v>
      </c>
      <c r="D100" s="8" t="s">
        <v>32</v>
      </c>
      <c r="E100" s="12">
        <v>45744.0</v>
      </c>
      <c r="F100" s="8" t="s">
        <v>39</v>
      </c>
      <c r="G100" s="8" t="s">
        <v>29</v>
      </c>
      <c r="H100" s="8" t="s">
        <v>41</v>
      </c>
      <c r="I100" s="8">
        <v>1047.0</v>
      </c>
    </row>
    <row r="101">
      <c r="A101" s="8">
        <v>99.0</v>
      </c>
      <c r="B101" s="8" t="s">
        <v>26</v>
      </c>
      <c r="C101" s="8" t="s">
        <v>42</v>
      </c>
      <c r="D101" s="8" t="s">
        <v>43</v>
      </c>
      <c r="E101" s="12">
        <v>45744.0</v>
      </c>
      <c r="F101" s="8">
        <v>7.38</v>
      </c>
      <c r="G101" s="8" t="s">
        <v>36</v>
      </c>
      <c r="H101" s="8" t="s">
        <v>30</v>
      </c>
      <c r="I101" s="8">
        <v>1028.0</v>
      </c>
    </row>
    <row r="102">
      <c r="A102" s="8">
        <v>100.0</v>
      </c>
      <c r="B102" s="8" t="s">
        <v>44</v>
      </c>
      <c r="C102" s="8" t="s">
        <v>37</v>
      </c>
      <c r="D102" s="8" t="s">
        <v>35</v>
      </c>
      <c r="E102" s="12">
        <v>45740.0</v>
      </c>
      <c r="F102" s="8" t="s">
        <v>39</v>
      </c>
      <c r="G102" s="8" t="s">
        <v>29</v>
      </c>
      <c r="H102" s="8" t="s">
        <v>41</v>
      </c>
      <c r="I102" s="8">
        <v>1063.0</v>
      </c>
    </row>
    <row r="103">
      <c r="A103" s="8">
        <v>101.0</v>
      </c>
      <c r="B103" s="8" t="s">
        <v>38</v>
      </c>
      <c r="C103" s="8" t="s">
        <v>27</v>
      </c>
      <c r="D103" s="8" t="s">
        <v>35</v>
      </c>
      <c r="E103" s="12">
        <v>45672.0</v>
      </c>
      <c r="F103" s="8">
        <v>75.6</v>
      </c>
      <c r="H103" s="8" t="s">
        <v>30</v>
      </c>
      <c r="I103" s="8">
        <v>1095.0</v>
      </c>
    </row>
    <row r="104">
      <c r="A104" s="8">
        <v>102.0</v>
      </c>
      <c r="B104" s="8" t="s">
        <v>44</v>
      </c>
      <c r="C104" s="8" t="s">
        <v>45</v>
      </c>
      <c r="D104" s="8" t="s">
        <v>35</v>
      </c>
      <c r="E104" s="12">
        <v>45751.0</v>
      </c>
      <c r="F104" s="8">
        <v>31.58</v>
      </c>
      <c r="G104" s="8" t="s">
        <v>36</v>
      </c>
      <c r="H104" s="8" t="s">
        <v>33</v>
      </c>
      <c r="I104" s="8">
        <v>1056.0</v>
      </c>
    </row>
    <row r="105">
      <c r="A105" s="8">
        <v>103.0</v>
      </c>
      <c r="B105" s="8" t="s">
        <v>26</v>
      </c>
      <c r="C105" s="8" t="s">
        <v>45</v>
      </c>
      <c r="D105" s="8" t="s">
        <v>43</v>
      </c>
      <c r="E105" s="12">
        <v>45714.0</v>
      </c>
      <c r="F105" s="8">
        <v>39.07</v>
      </c>
      <c r="H105" s="8" t="s">
        <v>41</v>
      </c>
      <c r="I105" s="8">
        <v>1024.0</v>
      </c>
    </row>
    <row r="106">
      <c r="A106" s="8">
        <v>104.0</v>
      </c>
      <c r="B106" s="8" t="s">
        <v>44</v>
      </c>
      <c r="C106" s="8" t="s">
        <v>45</v>
      </c>
      <c r="D106" s="8" t="s">
        <v>28</v>
      </c>
      <c r="E106" s="12">
        <v>45673.0</v>
      </c>
      <c r="F106" s="8">
        <v>7.03</v>
      </c>
      <c r="G106" s="8" t="s">
        <v>36</v>
      </c>
      <c r="H106" s="8" t="s">
        <v>33</v>
      </c>
      <c r="I106" s="8">
        <v>1016.0</v>
      </c>
    </row>
    <row r="107">
      <c r="A107" s="8">
        <v>105.0</v>
      </c>
      <c r="B107" s="8" t="s">
        <v>34</v>
      </c>
      <c r="C107" s="8" t="s">
        <v>27</v>
      </c>
      <c r="D107" s="8" t="s">
        <v>28</v>
      </c>
      <c r="E107" s="12">
        <v>45758.0</v>
      </c>
      <c r="F107" s="8">
        <v>78.57</v>
      </c>
      <c r="G107" s="8" t="s">
        <v>29</v>
      </c>
      <c r="H107" s="8" t="s">
        <v>41</v>
      </c>
      <c r="I107" s="8">
        <v>1018.0</v>
      </c>
    </row>
    <row r="108">
      <c r="A108" s="8">
        <v>106.0</v>
      </c>
      <c r="B108" s="8" t="s">
        <v>31</v>
      </c>
      <c r="C108" s="8" t="s">
        <v>45</v>
      </c>
      <c r="D108" s="8" t="s">
        <v>32</v>
      </c>
      <c r="E108" s="12">
        <v>45674.0</v>
      </c>
      <c r="F108" s="8">
        <v>79.9</v>
      </c>
      <c r="G108" s="8" t="s">
        <v>36</v>
      </c>
      <c r="H108" s="8" t="s">
        <v>33</v>
      </c>
      <c r="I108" s="8">
        <v>1022.0</v>
      </c>
    </row>
    <row r="109">
      <c r="A109" s="8">
        <v>107.0</v>
      </c>
      <c r="B109" s="8" t="s">
        <v>44</v>
      </c>
      <c r="C109" s="8" t="s">
        <v>45</v>
      </c>
      <c r="D109" s="8" t="s">
        <v>32</v>
      </c>
      <c r="E109" s="12">
        <v>45691.0</v>
      </c>
      <c r="F109" s="8">
        <v>53.76</v>
      </c>
      <c r="G109" s="8" t="s">
        <v>29</v>
      </c>
      <c r="H109" s="8" t="s">
        <v>41</v>
      </c>
      <c r="I109" s="8">
        <v>1064.0</v>
      </c>
    </row>
    <row r="110">
      <c r="A110" s="8">
        <v>108.0</v>
      </c>
      <c r="B110" s="8" t="s">
        <v>34</v>
      </c>
      <c r="C110" s="8" t="s">
        <v>37</v>
      </c>
      <c r="D110" s="8" t="s">
        <v>35</v>
      </c>
      <c r="E110" s="12">
        <v>45686.0</v>
      </c>
      <c r="F110" s="8" t="s">
        <v>39</v>
      </c>
      <c r="H110" s="8" t="s">
        <v>41</v>
      </c>
      <c r="I110" s="8">
        <v>1054.0</v>
      </c>
    </row>
    <row r="111">
      <c r="A111" s="8">
        <v>109.0</v>
      </c>
      <c r="B111" s="8" t="s">
        <v>44</v>
      </c>
      <c r="C111" s="8" t="s">
        <v>45</v>
      </c>
      <c r="D111" s="8" t="s">
        <v>32</v>
      </c>
      <c r="E111" s="12">
        <v>45745.0</v>
      </c>
      <c r="F111" s="8">
        <v>16.99</v>
      </c>
      <c r="G111" s="8" t="s">
        <v>36</v>
      </c>
      <c r="H111" s="8" t="s">
        <v>41</v>
      </c>
      <c r="I111" s="8">
        <v>1076.0</v>
      </c>
    </row>
    <row r="112">
      <c r="A112" s="8">
        <v>110.0</v>
      </c>
      <c r="B112" s="8" t="s">
        <v>38</v>
      </c>
      <c r="C112" s="8" t="s">
        <v>42</v>
      </c>
      <c r="D112" s="8" t="s">
        <v>32</v>
      </c>
      <c r="E112" s="12">
        <v>45725.0</v>
      </c>
      <c r="F112" s="8">
        <v>67.2</v>
      </c>
      <c r="G112" s="8" t="s">
        <v>40</v>
      </c>
      <c r="H112" s="8" t="s">
        <v>41</v>
      </c>
      <c r="I112" s="8">
        <v>1057.0</v>
      </c>
    </row>
    <row r="113">
      <c r="A113" s="8">
        <v>111.0</v>
      </c>
      <c r="B113" s="8" t="s">
        <v>26</v>
      </c>
      <c r="C113" s="8" t="s">
        <v>42</v>
      </c>
      <c r="D113" s="8" t="s">
        <v>35</v>
      </c>
      <c r="E113" s="12">
        <v>45771.0</v>
      </c>
      <c r="F113" s="8">
        <v>45.54</v>
      </c>
      <c r="G113" s="8" t="s">
        <v>36</v>
      </c>
      <c r="H113" s="8" t="s">
        <v>41</v>
      </c>
      <c r="I113" s="8">
        <v>1019.0</v>
      </c>
    </row>
    <row r="114">
      <c r="A114" s="8">
        <v>112.0</v>
      </c>
      <c r="B114" s="8" t="s">
        <v>34</v>
      </c>
      <c r="C114" s="8" t="s">
        <v>45</v>
      </c>
      <c r="D114" s="8" t="s">
        <v>32</v>
      </c>
      <c r="E114" s="12">
        <v>45745.0</v>
      </c>
      <c r="F114" s="8">
        <v>75.19</v>
      </c>
      <c r="G114" s="8" t="s">
        <v>40</v>
      </c>
      <c r="H114" s="8" t="s">
        <v>30</v>
      </c>
      <c r="I114" s="8">
        <v>1007.0</v>
      </c>
    </row>
    <row r="115">
      <c r="A115" s="8">
        <v>113.0</v>
      </c>
      <c r="B115" s="8" t="s">
        <v>38</v>
      </c>
      <c r="C115" s="8" t="s">
        <v>37</v>
      </c>
      <c r="D115" s="8" t="s">
        <v>32</v>
      </c>
      <c r="E115" s="12">
        <v>45733.0</v>
      </c>
      <c r="F115" s="8">
        <v>94.41</v>
      </c>
      <c r="H115" s="8" t="s">
        <v>30</v>
      </c>
      <c r="I115" s="8">
        <v>1006.0</v>
      </c>
    </row>
    <row r="116">
      <c r="A116" s="8">
        <v>114.0</v>
      </c>
      <c r="B116" s="8" t="s">
        <v>26</v>
      </c>
      <c r="C116" s="8" t="s">
        <v>45</v>
      </c>
      <c r="D116" s="8" t="s">
        <v>28</v>
      </c>
      <c r="E116" s="12">
        <v>45694.0</v>
      </c>
      <c r="F116" s="8">
        <v>85.49</v>
      </c>
      <c r="G116" s="8" t="s">
        <v>36</v>
      </c>
      <c r="H116" s="8" t="s">
        <v>30</v>
      </c>
      <c r="I116" s="8">
        <v>1047.0</v>
      </c>
    </row>
    <row r="117">
      <c r="A117" s="8">
        <v>115.0</v>
      </c>
      <c r="B117" s="8" t="s">
        <v>38</v>
      </c>
      <c r="C117" s="8" t="s">
        <v>27</v>
      </c>
      <c r="D117" s="8" t="s">
        <v>35</v>
      </c>
      <c r="E117" s="12">
        <v>45672.0</v>
      </c>
      <c r="F117" s="8">
        <v>82.75</v>
      </c>
      <c r="G117" s="8" t="s">
        <v>29</v>
      </c>
      <c r="H117" s="8" t="s">
        <v>30</v>
      </c>
      <c r="I117" s="8">
        <v>1084.0</v>
      </c>
    </row>
    <row r="118">
      <c r="A118" s="8">
        <v>116.0</v>
      </c>
      <c r="B118" s="8" t="s">
        <v>34</v>
      </c>
      <c r="C118" s="8" t="s">
        <v>27</v>
      </c>
      <c r="D118" s="8" t="s">
        <v>43</v>
      </c>
      <c r="E118" s="12">
        <v>45764.0</v>
      </c>
      <c r="F118" s="8">
        <v>37.28</v>
      </c>
      <c r="G118" s="8" t="s">
        <v>29</v>
      </c>
      <c r="H118" s="8" t="s">
        <v>33</v>
      </c>
      <c r="I118" s="8">
        <v>1018.0</v>
      </c>
    </row>
    <row r="119">
      <c r="A119" s="8">
        <v>117.0</v>
      </c>
      <c r="B119" s="8" t="s">
        <v>34</v>
      </c>
      <c r="C119" s="8" t="s">
        <v>27</v>
      </c>
      <c r="D119" s="8" t="s">
        <v>32</v>
      </c>
      <c r="E119" s="12">
        <v>45730.0</v>
      </c>
      <c r="F119" s="8">
        <v>40.74</v>
      </c>
      <c r="H119" s="8" t="s">
        <v>41</v>
      </c>
      <c r="I119" s="8">
        <v>1020.0</v>
      </c>
    </row>
    <row r="120">
      <c r="A120" s="8">
        <v>118.0</v>
      </c>
      <c r="B120" s="8" t="s">
        <v>26</v>
      </c>
      <c r="C120" s="8" t="s">
        <v>45</v>
      </c>
      <c r="D120" s="8" t="s">
        <v>32</v>
      </c>
      <c r="E120" s="12">
        <v>45705.0</v>
      </c>
      <c r="F120" s="8">
        <v>9.73</v>
      </c>
      <c r="G120" s="8" t="s">
        <v>29</v>
      </c>
      <c r="H120" s="8" t="s">
        <v>41</v>
      </c>
      <c r="I120" s="8">
        <v>1056.0</v>
      </c>
    </row>
    <row r="121">
      <c r="A121" s="8">
        <v>119.0</v>
      </c>
      <c r="B121" s="8" t="s">
        <v>38</v>
      </c>
      <c r="C121" s="8" t="s">
        <v>42</v>
      </c>
      <c r="D121" s="8" t="s">
        <v>35</v>
      </c>
      <c r="E121" s="12">
        <v>45742.0</v>
      </c>
      <c r="F121" s="8">
        <v>15.81</v>
      </c>
      <c r="H121" s="8" t="s">
        <v>33</v>
      </c>
      <c r="I121" s="8">
        <v>1036.0</v>
      </c>
    </row>
    <row r="122">
      <c r="A122" s="8">
        <v>120.0</v>
      </c>
      <c r="B122" s="8" t="s">
        <v>44</v>
      </c>
      <c r="C122" s="8" t="s">
        <v>37</v>
      </c>
      <c r="D122" s="8" t="s">
        <v>32</v>
      </c>
      <c r="E122" s="12">
        <v>45744.0</v>
      </c>
      <c r="F122" s="8">
        <v>10.2</v>
      </c>
      <c r="G122" s="8" t="s">
        <v>40</v>
      </c>
      <c r="H122" s="8" t="s">
        <v>41</v>
      </c>
      <c r="I122" s="8">
        <v>1027.0</v>
      </c>
    </row>
    <row r="123">
      <c r="A123" s="8">
        <v>121.0</v>
      </c>
      <c r="B123" s="8" t="s">
        <v>26</v>
      </c>
      <c r="C123" s="8" t="s">
        <v>37</v>
      </c>
      <c r="D123" s="8" t="s">
        <v>43</v>
      </c>
      <c r="E123" s="12">
        <v>45756.0</v>
      </c>
      <c r="F123" s="8">
        <v>45.91</v>
      </c>
      <c r="G123" s="8" t="s">
        <v>40</v>
      </c>
      <c r="H123" s="8" t="s">
        <v>41</v>
      </c>
      <c r="I123" s="8">
        <v>1068.0</v>
      </c>
    </row>
    <row r="124">
      <c r="A124" s="8">
        <v>122.0</v>
      </c>
      <c r="B124" s="8" t="s">
        <v>38</v>
      </c>
      <c r="C124" s="8" t="s">
        <v>37</v>
      </c>
      <c r="D124" s="8" t="s">
        <v>32</v>
      </c>
      <c r="E124" s="12">
        <v>45748.0</v>
      </c>
      <c r="F124" s="8">
        <v>46.44</v>
      </c>
      <c r="H124" s="8" t="s">
        <v>33</v>
      </c>
      <c r="I124" s="8">
        <v>1040.0</v>
      </c>
    </row>
    <row r="125">
      <c r="A125" s="8">
        <v>123.0</v>
      </c>
      <c r="B125" s="8" t="s">
        <v>44</v>
      </c>
      <c r="C125" s="8" t="s">
        <v>42</v>
      </c>
      <c r="D125" s="8" t="s">
        <v>43</v>
      </c>
      <c r="E125" s="12">
        <v>45731.0</v>
      </c>
      <c r="F125" s="8" t="s">
        <v>39</v>
      </c>
      <c r="G125" s="8" t="s">
        <v>36</v>
      </c>
      <c r="H125" s="8" t="s">
        <v>33</v>
      </c>
      <c r="I125" s="8">
        <v>1079.0</v>
      </c>
    </row>
    <row r="126">
      <c r="A126" s="8">
        <v>124.0</v>
      </c>
      <c r="B126" s="8" t="s">
        <v>26</v>
      </c>
      <c r="C126" s="8" t="s">
        <v>45</v>
      </c>
      <c r="D126" s="8" t="s">
        <v>35</v>
      </c>
      <c r="E126" s="12">
        <v>45716.0</v>
      </c>
      <c r="F126" s="8">
        <v>60.94</v>
      </c>
      <c r="G126" s="8" t="s">
        <v>29</v>
      </c>
      <c r="H126" s="8" t="s">
        <v>41</v>
      </c>
      <c r="I126" s="8">
        <v>1039.0</v>
      </c>
    </row>
    <row r="127">
      <c r="A127" s="8">
        <v>125.0</v>
      </c>
      <c r="B127" s="8" t="s">
        <v>26</v>
      </c>
      <c r="C127" s="8" t="s">
        <v>27</v>
      </c>
      <c r="D127" s="8" t="s">
        <v>32</v>
      </c>
      <c r="E127" s="12">
        <v>45753.0</v>
      </c>
      <c r="F127" s="8">
        <v>53.45</v>
      </c>
      <c r="G127" s="8" t="s">
        <v>36</v>
      </c>
      <c r="H127" s="8" t="s">
        <v>41</v>
      </c>
      <c r="I127" s="8">
        <v>1093.0</v>
      </c>
    </row>
    <row r="128">
      <c r="A128" s="8">
        <v>126.0</v>
      </c>
      <c r="B128" s="8" t="s">
        <v>31</v>
      </c>
      <c r="C128" s="8" t="s">
        <v>27</v>
      </c>
      <c r="D128" s="8" t="s">
        <v>32</v>
      </c>
      <c r="E128" s="12">
        <v>45762.0</v>
      </c>
      <c r="F128" s="8">
        <v>62.23</v>
      </c>
      <c r="G128" s="8" t="s">
        <v>29</v>
      </c>
      <c r="H128" s="8" t="s">
        <v>33</v>
      </c>
      <c r="I128" s="8">
        <v>1098.0</v>
      </c>
    </row>
    <row r="129">
      <c r="A129" s="8">
        <v>127.0</v>
      </c>
      <c r="B129" s="8" t="s">
        <v>38</v>
      </c>
      <c r="C129" s="8" t="s">
        <v>42</v>
      </c>
      <c r="D129" s="8" t="s">
        <v>43</v>
      </c>
      <c r="E129" s="12">
        <v>45738.0</v>
      </c>
      <c r="F129" s="8">
        <v>19.34</v>
      </c>
      <c r="G129" s="8" t="s">
        <v>29</v>
      </c>
      <c r="H129" s="8" t="s">
        <v>41</v>
      </c>
      <c r="I129" s="8">
        <v>1056.0</v>
      </c>
    </row>
    <row r="130">
      <c r="A130" s="8">
        <v>128.0</v>
      </c>
      <c r="B130" s="8" t="s">
        <v>26</v>
      </c>
      <c r="C130" s="8" t="s">
        <v>45</v>
      </c>
      <c r="D130" s="8" t="s">
        <v>43</v>
      </c>
      <c r="E130" s="12">
        <v>45738.0</v>
      </c>
      <c r="F130" s="8">
        <v>47.93</v>
      </c>
      <c r="G130" s="8" t="s">
        <v>29</v>
      </c>
      <c r="H130" s="8" t="s">
        <v>41</v>
      </c>
      <c r="I130" s="8">
        <v>1036.0</v>
      </c>
    </row>
    <row r="131">
      <c r="A131" s="8">
        <v>129.0</v>
      </c>
      <c r="B131" s="8" t="s">
        <v>34</v>
      </c>
      <c r="C131" s="8" t="s">
        <v>42</v>
      </c>
      <c r="D131" s="8" t="s">
        <v>35</v>
      </c>
      <c r="E131" s="12">
        <v>45667.0</v>
      </c>
      <c r="F131" s="8">
        <v>75.2</v>
      </c>
      <c r="G131" s="8" t="s">
        <v>29</v>
      </c>
      <c r="H131" s="8" t="s">
        <v>41</v>
      </c>
      <c r="I131" s="8">
        <v>1073.0</v>
      </c>
    </row>
    <row r="132">
      <c r="A132" s="8">
        <v>130.0</v>
      </c>
      <c r="B132" s="8" t="s">
        <v>38</v>
      </c>
      <c r="C132" s="8" t="s">
        <v>42</v>
      </c>
      <c r="D132" s="8" t="s">
        <v>28</v>
      </c>
      <c r="E132" s="12">
        <v>45741.0</v>
      </c>
      <c r="F132" s="8">
        <v>82.04</v>
      </c>
      <c r="G132" s="8" t="s">
        <v>36</v>
      </c>
      <c r="H132" s="8" t="s">
        <v>30</v>
      </c>
      <c r="I132" s="8">
        <v>1010.0</v>
      </c>
    </row>
    <row r="133">
      <c r="A133" s="8">
        <v>131.0</v>
      </c>
      <c r="B133" s="8" t="s">
        <v>34</v>
      </c>
      <c r="C133" s="8" t="s">
        <v>27</v>
      </c>
      <c r="D133" s="8" t="s">
        <v>35</v>
      </c>
      <c r="E133" s="12">
        <v>45722.0</v>
      </c>
      <c r="F133" s="8">
        <v>62.93</v>
      </c>
      <c r="G133" s="8" t="s">
        <v>36</v>
      </c>
      <c r="H133" s="8" t="s">
        <v>41</v>
      </c>
      <c r="I133" s="8">
        <v>1036.0</v>
      </c>
    </row>
    <row r="134">
      <c r="A134" s="8">
        <v>132.0</v>
      </c>
      <c r="B134" s="8" t="s">
        <v>26</v>
      </c>
      <c r="C134" s="8" t="s">
        <v>45</v>
      </c>
      <c r="D134" s="8" t="s">
        <v>43</v>
      </c>
      <c r="E134" s="12">
        <v>45707.0</v>
      </c>
      <c r="F134" s="8">
        <v>69.45</v>
      </c>
      <c r="G134" s="8" t="s">
        <v>36</v>
      </c>
      <c r="H134" s="8" t="s">
        <v>41</v>
      </c>
      <c r="I134" s="8">
        <v>1092.0</v>
      </c>
    </row>
    <row r="135">
      <c r="A135" s="8">
        <v>133.0</v>
      </c>
      <c r="B135" s="8" t="s">
        <v>38</v>
      </c>
      <c r="C135" s="8" t="s">
        <v>27</v>
      </c>
      <c r="D135" s="8" t="s">
        <v>43</v>
      </c>
      <c r="E135" s="12">
        <v>45767.0</v>
      </c>
      <c r="F135" s="8">
        <v>92.09</v>
      </c>
      <c r="G135" s="8" t="s">
        <v>36</v>
      </c>
      <c r="H135" s="8" t="s">
        <v>30</v>
      </c>
      <c r="I135" s="8">
        <v>1089.0</v>
      </c>
    </row>
    <row r="136">
      <c r="A136" s="8">
        <v>134.0</v>
      </c>
      <c r="B136" s="8" t="s">
        <v>38</v>
      </c>
      <c r="C136" s="8" t="s">
        <v>45</v>
      </c>
      <c r="D136" s="8" t="s">
        <v>43</v>
      </c>
      <c r="E136" s="12">
        <v>45742.0</v>
      </c>
      <c r="F136" s="8">
        <v>36.21</v>
      </c>
      <c r="G136" s="8" t="s">
        <v>40</v>
      </c>
      <c r="H136" s="8" t="s">
        <v>30</v>
      </c>
      <c r="I136" s="8">
        <v>1089.0</v>
      </c>
    </row>
    <row r="137">
      <c r="A137" s="8">
        <v>135.0</v>
      </c>
      <c r="B137" s="8" t="s">
        <v>38</v>
      </c>
      <c r="C137" s="8" t="s">
        <v>45</v>
      </c>
      <c r="D137" s="8" t="s">
        <v>35</v>
      </c>
      <c r="E137" s="12">
        <v>45764.0</v>
      </c>
      <c r="F137" s="8" t="s">
        <v>39</v>
      </c>
      <c r="G137" s="8" t="s">
        <v>36</v>
      </c>
      <c r="H137" s="8" t="s">
        <v>33</v>
      </c>
      <c r="I137" s="8">
        <v>1027.0</v>
      </c>
    </row>
    <row r="138">
      <c r="A138" s="8">
        <v>136.0</v>
      </c>
      <c r="B138" s="8" t="s">
        <v>44</v>
      </c>
      <c r="C138" s="8" t="s">
        <v>27</v>
      </c>
      <c r="D138" s="8" t="s">
        <v>28</v>
      </c>
      <c r="E138" s="12">
        <v>45701.0</v>
      </c>
      <c r="F138" s="8">
        <v>33.1</v>
      </c>
      <c r="G138" s="8" t="s">
        <v>29</v>
      </c>
      <c r="H138" s="8" t="s">
        <v>30</v>
      </c>
      <c r="I138" s="8">
        <v>1098.0</v>
      </c>
    </row>
    <row r="139">
      <c r="A139" s="8">
        <v>137.0</v>
      </c>
      <c r="B139" s="8" t="s">
        <v>38</v>
      </c>
      <c r="C139" s="8" t="s">
        <v>45</v>
      </c>
      <c r="D139" s="8" t="s">
        <v>43</v>
      </c>
      <c r="E139" s="12">
        <v>45727.0</v>
      </c>
      <c r="F139" s="8">
        <v>61.74</v>
      </c>
      <c r="G139" s="8" t="s">
        <v>40</v>
      </c>
      <c r="H139" s="8" t="s">
        <v>33</v>
      </c>
      <c r="I139" s="8">
        <v>1023.0</v>
      </c>
    </row>
    <row r="140">
      <c r="A140" s="8">
        <v>138.0</v>
      </c>
      <c r="B140" s="8" t="s">
        <v>38</v>
      </c>
      <c r="C140" s="8" t="s">
        <v>27</v>
      </c>
      <c r="D140" s="8" t="s">
        <v>35</v>
      </c>
      <c r="E140" s="12">
        <v>45764.0</v>
      </c>
      <c r="F140" s="8">
        <v>73.36</v>
      </c>
      <c r="H140" s="8" t="s">
        <v>30</v>
      </c>
      <c r="I140" s="8">
        <v>1036.0</v>
      </c>
    </row>
    <row r="141">
      <c r="A141" s="8">
        <v>139.0</v>
      </c>
      <c r="B141" s="8" t="s">
        <v>44</v>
      </c>
      <c r="C141" s="8" t="s">
        <v>27</v>
      </c>
      <c r="D141" s="8" t="s">
        <v>28</v>
      </c>
      <c r="E141" s="12">
        <v>45754.0</v>
      </c>
      <c r="F141" s="8">
        <v>49.56</v>
      </c>
      <c r="G141" s="8" t="s">
        <v>40</v>
      </c>
      <c r="H141" s="8" t="s">
        <v>41</v>
      </c>
      <c r="I141" s="8">
        <v>1086.0</v>
      </c>
    </row>
    <row r="142">
      <c r="A142" s="8">
        <v>140.0</v>
      </c>
      <c r="B142" s="8" t="s">
        <v>44</v>
      </c>
      <c r="C142" s="8" t="s">
        <v>37</v>
      </c>
      <c r="D142" s="8" t="s">
        <v>35</v>
      </c>
      <c r="E142" s="12">
        <v>45731.0</v>
      </c>
      <c r="F142" s="8">
        <v>20.4</v>
      </c>
      <c r="G142" s="8" t="s">
        <v>40</v>
      </c>
      <c r="H142" s="8" t="s">
        <v>30</v>
      </c>
      <c r="I142" s="8">
        <v>1017.0</v>
      </c>
    </row>
    <row r="143">
      <c r="A143" s="8">
        <v>141.0</v>
      </c>
      <c r="B143" s="8" t="s">
        <v>44</v>
      </c>
      <c r="C143" s="8" t="s">
        <v>37</v>
      </c>
      <c r="D143" s="8" t="s">
        <v>32</v>
      </c>
      <c r="E143" s="12">
        <v>45769.0</v>
      </c>
      <c r="F143" s="8">
        <v>16.84</v>
      </c>
      <c r="G143" s="8" t="s">
        <v>29</v>
      </c>
      <c r="H143" s="8" t="s">
        <v>33</v>
      </c>
      <c r="I143" s="8">
        <v>1034.0</v>
      </c>
    </row>
    <row r="144">
      <c r="A144" s="8">
        <v>142.0</v>
      </c>
      <c r="B144" s="8" t="s">
        <v>31</v>
      </c>
      <c r="C144" s="8" t="s">
        <v>42</v>
      </c>
      <c r="D144" s="8" t="s">
        <v>32</v>
      </c>
      <c r="E144" s="12">
        <v>45715.0</v>
      </c>
      <c r="F144" s="8">
        <v>47.86</v>
      </c>
      <c r="G144" s="8" t="s">
        <v>36</v>
      </c>
      <c r="H144" s="8" t="s">
        <v>33</v>
      </c>
      <c r="I144" s="8">
        <v>1053.0</v>
      </c>
    </row>
    <row r="145">
      <c r="A145" s="8">
        <v>143.0</v>
      </c>
      <c r="B145" s="8" t="s">
        <v>26</v>
      </c>
      <c r="C145" s="8" t="s">
        <v>27</v>
      </c>
      <c r="D145" s="8" t="s">
        <v>35</v>
      </c>
      <c r="E145" s="12">
        <v>45664.0</v>
      </c>
      <c r="F145" s="8">
        <v>7.68</v>
      </c>
      <c r="G145" s="8" t="s">
        <v>29</v>
      </c>
      <c r="H145" s="8" t="s">
        <v>30</v>
      </c>
      <c r="I145" s="8">
        <v>1083.0</v>
      </c>
    </row>
    <row r="146">
      <c r="A146" s="8">
        <v>144.0</v>
      </c>
      <c r="B146" s="8" t="s">
        <v>31</v>
      </c>
      <c r="C146" s="8" t="s">
        <v>45</v>
      </c>
      <c r="D146" s="8" t="s">
        <v>43</v>
      </c>
      <c r="E146" s="12">
        <v>45700.0</v>
      </c>
      <c r="F146" s="8">
        <v>83.96</v>
      </c>
      <c r="H146" s="8" t="s">
        <v>41</v>
      </c>
      <c r="I146" s="8">
        <v>1078.0</v>
      </c>
    </row>
    <row r="147">
      <c r="A147" s="8">
        <v>145.0</v>
      </c>
      <c r="B147" s="8" t="s">
        <v>34</v>
      </c>
      <c r="C147" s="8" t="s">
        <v>37</v>
      </c>
      <c r="D147" s="8" t="s">
        <v>28</v>
      </c>
      <c r="E147" s="12">
        <v>45658.0</v>
      </c>
      <c r="F147" s="8">
        <v>74.09</v>
      </c>
      <c r="H147" s="8" t="s">
        <v>33</v>
      </c>
      <c r="I147" s="8">
        <v>1099.0</v>
      </c>
    </row>
    <row r="148">
      <c r="A148" s="8">
        <v>146.0</v>
      </c>
      <c r="B148" s="8" t="s">
        <v>34</v>
      </c>
      <c r="C148" s="8" t="s">
        <v>45</v>
      </c>
      <c r="D148" s="8" t="s">
        <v>28</v>
      </c>
      <c r="E148" s="12">
        <v>45694.0</v>
      </c>
      <c r="F148" s="8">
        <v>48.43</v>
      </c>
      <c r="G148" s="8" t="s">
        <v>29</v>
      </c>
      <c r="H148" s="8" t="s">
        <v>41</v>
      </c>
      <c r="I148" s="8">
        <v>1076.0</v>
      </c>
    </row>
    <row r="149">
      <c r="B149" s="8" t="s">
        <v>38</v>
      </c>
      <c r="C149" s="8" t="s">
        <v>27</v>
      </c>
      <c r="D149" s="8" t="s">
        <v>28</v>
      </c>
      <c r="E149" s="12">
        <v>45726.0</v>
      </c>
      <c r="F149" s="8" t="s">
        <v>39</v>
      </c>
      <c r="G149" s="8" t="s">
        <v>36</v>
      </c>
      <c r="H149" s="8" t="s">
        <v>33</v>
      </c>
      <c r="I149" s="8">
        <v>1073.0</v>
      </c>
    </row>
    <row r="150">
      <c r="A150" s="8">
        <v>148.0</v>
      </c>
      <c r="B150" s="8" t="s">
        <v>34</v>
      </c>
      <c r="C150" s="8" t="s">
        <v>37</v>
      </c>
      <c r="D150" s="8" t="s">
        <v>32</v>
      </c>
      <c r="E150" s="12">
        <v>45711.0</v>
      </c>
      <c r="F150" s="8">
        <v>79.71</v>
      </c>
      <c r="G150" s="8" t="s">
        <v>29</v>
      </c>
      <c r="H150" s="8" t="s">
        <v>41</v>
      </c>
      <c r="I150" s="8">
        <v>1060.0</v>
      </c>
    </row>
    <row r="151">
      <c r="A151" s="8">
        <v>149.0</v>
      </c>
      <c r="B151" s="8" t="s">
        <v>26</v>
      </c>
      <c r="C151" s="8" t="s">
        <v>37</v>
      </c>
      <c r="D151" s="8" t="s">
        <v>32</v>
      </c>
      <c r="E151" s="12">
        <v>45663.0</v>
      </c>
      <c r="F151" s="8">
        <v>27.91</v>
      </c>
      <c r="G151" s="8" t="s">
        <v>29</v>
      </c>
      <c r="H151" s="8" t="s">
        <v>30</v>
      </c>
      <c r="I151" s="8">
        <v>1094.0</v>
      </c>
    </row>
    <row r="152">
      <c r="A152" s="8">
        <v>150.0</v>
      </c>
      <c r="B152" s="8" t="s">
        <v>34</v>
      </c>
      <c r="C152" s="8" t="s">
        <v>37</v>
      </c>
      <c r="D152" s="8" t="s">
        <v>43</v>
      </c>
      <c r="E152" s="12">
        <v>45754.0</v>
      </c>
      <c r="F152" s="8">
        <v>79.02</v>
      </c>
      <c r="H152" s="8" t="s">
        <v>30</v>
      </c>
      <c r="I152" s="8">
        <v>1061.0</v>
      </c>
    </row>
    <row r="153">
      <c r="A153" s="8">
        <v>151.0</v>
      </c>
      <c r="B153" s="8" t="s">
        <v>31</v>
      </c>
      <c r="C153" s="8" t="s">
        <v>45</v>
      </c>
      <c r="D153" s="8" t="s">
        <v>35</v>
      </c>
      <c r="E153" s="12">
        <v>45738.0</v>
      </c>
      <c r="F153" s="8">
        <v>80.16</v>
      </c>
      <c r="G153" s="8" t="s">
        <v>29</v>
      </c>
      <c r="H153" s="8" t="s">
        <v>41</v>
      </c>
      <c r="I153" s="8">
        <v>1039.0</v>
      </c>
    </row>
    <row r="154">
      <c r="A154" s="8">
        <v>152.0</v>
      </c>
      <c r="B154" s="8" t="s">
        <v>38</v>
      </c>
      <c r="C154" s="8" t="s">
        <v>42</v>
      </c>
      <c r="D154" s="8" t="s">
        <v>43</v>
      </c>
      <c r="E154" s="12">
        <v>45723.0</v>
      </c>
      <c r="F154" s="8">
        <v>32.18</v>
      </c>
      <c r="G154" s="8" t="s">
        <v>29</v>
      </c>
      <c r="H154" s="8" t="s">
        <v>30</v>
      </c>
      <c r="I154" s="8">
        <v>1042.0</v>
      </c>
    </row>
    <row r="155">
      <c r="A155" s="8">
        <v>153.0</v>
      </c>
      <c r="B155" s="8" t="s">
        <v>26</v>
      </c>
      <c r="C155" s="8" t="s">
        <v>42</v>
      </c>
      <c r="D155" s="8" t="s">
        <v>35</v>
      </c>
      <c r="E155" s="12">
        <v>45692.0</v>
      </c>
      <c r="F155" s="8">
        <v>41.73</v>
      </c>
      <c r="G155" s="8" t="s">
        <v>40</v>
      </c>
      <c r="H155" s="8" t="s">
        <v>41</v>
      </c>
      <c r="I155" s="8">
        <v>1088.0</v>
      </c>
    </row>
    <row r="156">
      <c r="A156" s="8">
        <v>154.0</v>
      </c>
      <c r="B156" s="8" t="s">
        <v>38</v>
      </c>
      <c r="C156" s="8" t="s">
        <v>37</v>
      </c>
      <c r="D156" s="8" t="s">
        <v>32</v>
      </c>
      <c r="E156" s="12">
        <v>45721.0</v>
      </c>
      <c r="F156" s="8">
        <v>62.23</v>
      </c>
      <c r="G156" s="8" t="s">
        <v>40</v>
      </c>
      <c r="H156" s="8" t="s">
        <v>30</v>
      </c>
      <c r="I156" s="8">
        <v>1037.0</v>
      </c>
    </row>
    <row r="157">
      <c r="A157" s="8">
        <v>155.0</v>
      </c>
      <c r="B157" s="8" t="s">
        <v>26</v>
      </c>
      <c r="C157" s="8" t="s">
        <v>37</v>
      </c>
      <c r="D157" s="8" t="s">
        <v>43</v>
      </c>
      <c r="E157" s="12">
        <v>45699.0</v>
      </c>
      <c r="F157" s="8">
        <v>20.83</v>
      </c>
      <c r="H157" s="8" t="s">
        <v>41</v>
      </c>
      <c r="I157" s="8">
        <v>1057.0</v>
      </c>
    </row>
    <row r="158">
      <c r="A158" s="8">
        <v>156.0</v>
      </c>
      <c r="B158" s="8" t="s">
        <v>26</v>
      </c>
      <c r="C158" s="8" t="s">
        <v>42</v>
      </c>
      <c r="D158" s="8" t="s">
        <v>43</v>
      </c>
      <c r="E158" s="12">
        <v>45663.0</v>
      </c>
      <c r="F158" s="8">
        <v>10.45</v>
      </c>
      <c r="H158" s="8" t="s">
        <v>41</v>
      </c>
      <c r="I158" s="8">
        <v>1065.0</v>
      </c>
    </row>
    <row r="159">
      <c r="A159" s="8">
        <v>157.0</v>
      </c>
      <c r="B159" s="8" t="s">
        <v>31</v>
      </c>
      <c r="C159" s="8" t="s">
        <v>45</v>
      </c>
      <c r="D159" s="8" t="s">
        <v>28</v>
      </c>
      <c r="E159" s="12">
        <v>45760.0</v>
      </c>
      <c r="F159" s="8">
        <v>46.63</v>
      </c>
      <c r="G159" s="8" t="s">
        <v>40</v>
      </c>
      <c r="H159" s="8" t="s">
        <v>33</v>
      </c>
      <c r="I159" s="8">
        <v>1030.0</v>
      </c>
    </row>
    <row r="160">
      <c r="A160" s="8">
        <v>158.0</v>
      </c>
      <c r="B160" s="8" t="s">
        <v>26</v>
      </c>
      <c r="C160" s="8" t="s">
        <v>42</v>
      </c>
      <c r="D160" s="8" t="s">
        <v>32</v>
      </c>
      <c r="E160" s="12">
        <v>45757.0</v>
      </c>
      <c r="F160" s="8">
        <v>95.14</v>
      </c>
      <c r="G160" s="8" t="s">
        <v>36</v>
      </c>
      <c r="H160" s="8" t="s">
        <v>41</v>
      </c>
      <c r="I160" s="8">
        <v>1097.0</v>
      </c>
    </row>
    <row r="161">
      <c r="A161" s="8">
        <v>159.0</v>
      </c>
      <c r="B161" s="8" t="s">
        <v>38</v>
      </c>
      <c r="C161" s="8" t="s">
        <v>37</v>
      </c>
      <c r="D161" s="8" t="s">
        <v>35</v>
      </c>
      <c r="E161" s="12">
        <v>45667.0</v>
      </c>
      <c r="F161" s="8">
        <v>96.25</v>
      </c>
      <c r="G161" s="8" t="s">
        <v>29</v>
      </c>
      <c r="H161" s="8" t="s">
        <v>30</v>
      </c>
      <c r="I161" s="8">
        <v>1023.0</v>
      </c>
    </row>
    <row r="162">
      <c r="A162" s="8">
        <v>160.0</v>
      </c>
      <c r="B162" s="8" t="s">
        <v>38</v>
      </c>
      <c r="C162" s="8" t="s">
        <v>45</v>
      </c>
      <c r="D162" s="8" t="s">
        <v>43</v>
      </c>
      <c r="E162" s="12">
        <v>45721.0</v>
      </c>
      <c r="F162" s="8">
        <v>25.38</v>
      </c>
      <c r="G162" s="8" t="s">
        <v>36</v>
      </c>
      <c r="H162" s="8" t="s">
        <v>30</v>
      </c>
      <c r="I162" s="8">
        <v>1062.0</v>
      </c>
    </row>
    <row r="163">
      <c r="A163" s="8">
        <v>161.0</v>
      </c>
      <c r="B163" s="8" t="s">
        <v>34</v>
      </c>
      <c r="C163" s="8" t="s">
        <v>42</v>
      </c>
      <c r="D163" s="8" t="s">
        <v>28</v>
      </c>
      <c r="E163" s="12">
        <v>45683.0</v>
      </c>
      <c r="F163" s="8">
        <v>13.34</v>
      </c>
      <c r="G163" s="8" t="s">
        <v>36</v>
      </c>
      <c r="H163" s="8" t="s">
        <v>30</v>
      </c>
      <c r="I163" s="8">
        <v>1044.0</v>
      </c>
    </row>
    <row r="164">
      <c r="A164" s="8">
        <v>162.0</v>
      </c>
      <c r="B164" s="8" t="s">
        <v>38</v>
      </c>
      <c r="C164" s="8" t="s">
        <v>37</v>
      </c>
      <c r="D164" s="8" t="s">
        <v>43</v>
      </c>
      <c r="E164" s="12">
        <v>45748.0</v>
      </c>
      <c r="F164" s="8">
        <v>93.1</v>
      </c>
      <c r="G164" s="8" t="s">
        <v>40</v>
      </c>
      <c r="H164" s="8" t="s">
        <v>41</v>
      </c>
      <c r="I164" s="8">
        <v>1065.0</v>
      </c>
    </row>
    <row r="165">
      <c r="A165" s="8">
        <v>163.0</v>
      </c>
      <c r="B165" s="8" t="s">
        <v>31</v>
      </c>
      <c r="C165" s="8" t="s">
        <v>27</v>
      </c>
      <c r="D165" s="8" t="s">
        <v>28</v>
      </c>
      <c r="E165" s="12">
        <v>45686.0</v>
      </c>
      <c r="F165" s="8" t="s">
        <v>39</v>
      </c>
      <c r="G165" s="8" t="s">
        <v>36</v>
      </c>
      <c r="H165" s="8" t="s">
        <v>41</v>
      </c>
      <c r="I165" s="8">
        <v>1070.0</v>
      </c>
    </row>
    <row r="166">
      <c r="A166" s="8">
        <v>164.0</v>
      </c>
      <c r="B166" s="8" t="s">
        <v>34</v>
      </c>
      <c r="C166" s="8" t="s">
        <v>45</v>
      </c>
      <c r="D166" s="8" t="s">
        <v>43</v>
      </c>
      <c r="E166" s="12">
        <v>45674.0</v>
      </c>
      <c r="F166" s="8">
        <v>50.47</v>
      </c>
      <c r="H166" s="8" t="s">
        <v>41</v>
      </c>
      <c r="I166" s="8">
        <v>1073.0</v>
      </c>
    </row>
    <row r="167">
      <c r="A167" s="8">
        <v>165.0</v>
      </c>
      <c r="B167" s="8" t="s">
        <v>26</v>
      </c>
      <c r="C167" s="8" t="s">
        <v>45</v>
      </c>
      <c r="D167" s="8" t="s">
        <v>35</v>
      </c>
      <c r="E167" s="12">
        <v>45667.0</v>
      </c>
      <c r="F167" s="8">
        <v>17.19</v>
      </c>
      <c r="G167" s="8" t="s">
        <v>40</v>
      </c>
      <c r="H167" s="8" t="s">
        <v>33</v>
      </c>
      <c r="I167" s="8">
        <v>1055.0</v>
      </c>
    </row>
    <row r="168">
      <c r="A168" s="8">
        <v>166.0</v>
      </c>
      <c r="B168" s="8" t="s">
        <v>34</v>
      </c>
      <c r="C168" s="8" t="s">
        <v>45</v>
      </c>
      <c r="D168" s="8" t="s">
        <v>28</v>
      </c>
      <c r="E168" s="12">
        <v>45722.0</v>
      </c>
      <c r="F168" s="8">
        <v>93.8</v>
      </c>
      <c r="G168" s="8" t="s">
        <v>40</v>
      </c>
      <c r="H168" s="8" t="s">
        <v>41</v>
      </c>
      <c r="I168" s="8">
        <v>1066.0</v>
      </c>
    </row>
    <row r="169">
      <c r="A169" s="8">
        <v>167.0</v>
      </c>
      <c r="B169" s="8" t="s">
        <v>34</v>
      </c>
      <c r="C169" s="8" t="s">
        <v>37</v>
      </c>
      <c r="D169" s="8" t="s">
        <v>28</v>
      </c>
      <c r="E169" s="12">
        <v>45772.0</v>
      </c>
      <c r="F169" s="8">
        <v>16.89</v>
      </c>
      <c r="G169" s="8" t="s">
        <v>36</v>
      </c>
      <c r="H169" s="8" t="s">
        <v>30</v>
      </c>
      <c r="I169" s="8">
        <v>1068.0</v>
      </c>
    </row>
    <row r="170">
      <c r="A170" s="8">
        <v>168.0</v>
      </c>
      <c r="B170" s="8" t="s">
        <v>31</v>
      </c>
      <c r="C170" s="8" t="s">
        <v>27</v>
      </c>
      <c r="D170" s="8" t="s">
        <v>28</v>
      </c>
      <c r="E170" s="12">
        <v>45669.0</v>
      </c>
      <c r="F170" s="8">
        <v>62.49</v>
      </c>
      <c r="G170" s="8" t="s">
        <v>29</v>
      </c>
      <c r="H170" s="8" t="s">
        <v>33</v>
      </c>
      <c r="I170" s="8">
        <v>1010.0</v>
      </c>
    </row>
    <row r="171">
      <c r="A171" s="8">
        <v>169.0</v>
      </c>
      <c r="B171" s="8" t="s">
        <v>38</v>
      </c>
      <c r="C171" s="8" t="s">
        <v>37</v>
      </c>
      <c r="D171" s="8" t="s">
        <v>28</v>
      </c>
      <c r="E171" s="12">
        <v>45663.0</v>
      </c>
      <c r="F171" s="8">
        <v>65.7</v>
      </c>
      <c r="H171" s="8" t="s">
        <v>30</v>
      </c>
      <c r="I171" s="8">
        <v>1069.0</v>
      </c>
    </row>
    <row r="172">
      <c r="A172" s="8">
        <v>170.0</v>
      </c>
      <c r="B172" s="8" t="s">
        <v>26</v>
      </c>
      <c r="C172" s="8" t="s">
        <v>42</v>
      </c>
      <c r="D172" s="8" t="s">
        <v>28</v>
      </c>
      <c r="E172" s="12">
        <v>45695.0</v>
      </c>
      <c r="F172" s="8">
        <v>33.26</v>
      </c>
      <c r="G172" s="8" t="s">
        <v>29</v>
      </c>
      <c r="H172" s="8" t="s">
        <v>30</v>
      </c>
      <c r="I172" s="8">
        <v>1007.0</v>
      </c>
    </row>
    <row r="173">
      <c r="A173" s="8">
        <v>171.0</v>
      </c>
      <c r="B173" s="8" t="s">
        <v>44</v>
      </c>
      <c r="C173" s="8" t="s">
        <v>42</v>
      </c>
      <c r="D173" s="8" t="s">
        <v>28</v>
      </c>
      <c r="E173" s="12">
        <v>45678.0</v>
      </c>
      <c r="F173" s="8">
        <v>86.84</v>
      </c>
      <c r="G173" s="8" t="s">
        <v>36</v>
      </c>
      <c r="H173" s="8" t="s">
        <v>30</v>
      </c>
      <c r="I173" s="8">
        <v>1044.0</v>
      </c>
    </row>
    <row r="174">
      <c r="A174" s="8">
        <v>172.0</v>
      </c>
      <c r="B174" s="8" t="s">
        <v>26</v>
      </c>
      <c r="C174" s="8" t="s">
        <v>45</v>
      </c>
      <c r="D174" s="8" t="s">
        <v>43</v>
      </c>
      <c r="E174" s="12">
        <v>45709.0</v>
      </c>
      <c r="F174" s="8">
        <v>47.71</v>
      </c>
      <c r="G174" s="8" t="s">
        <v>40</v>
      </c>
      <c r="H174" s="8" t="s">
        <v>33</v>
      </c>
      <c r="I174" s="8">
        <v>1006.0</v>
      </c>
    </row>
    <row r="175">
      <c r="A175" s="8">
        <v>173.0</v>
      </c>
      <c r="B175" s="8" t="s">
        <v>38</v>
      </c>
      <c r="C175" s="8" t="s">
        <v>42</v>
      </c>
      <c r="D175" s="8" t="s">
        <v>28</v>
      </c>
      <c r="E175" s="12">
        <v>45695.0</v>
      </c>
      <c r="F175" s="8">
        <v>82.28</v>
      </c>
      <c r="G175" s="8" t="s">
        <v>36</v>
      </c>
      <c r="H175" s="8" t="s">
        <v>33</v>
      </c>
      <c r="I175" s="8">
        <v>1097.0</v>
      </c>
    </row>
    <row r="176">
      <c r="A176" s="8">
        <v>174.0</v>
      </c>
      <c r="B176" s="8" t="s">
        <v>38</v>
      </c>
      <c r="C176" s="8" t="s">
        <v>42</v>
      </c>
      <c r="D176" s="8" t="s">
        <v>35</v>
      </c>
      <c r="E176" s="12">
        <v>45678.0</v>
      </c>
      <c r="F176" s="8">
        <v>13.55</v>
      </c>
      <c r="H176" s="8" t="s">
        <v>30</v>
      </c>
      <c r="I176" s="8">
        <v>1058.0</v>
      </c>
    </row>
    <row r="177">
      <c r="A177" s="8">
        <v>175.0</v>
      </c>
      <c r="B177" s="8" t="s">
        <v>26</v>
      </c>
      <c r="C177" s="8" t="s">
        <v>45</v>
      </c>
      <c r="D177" s="8" t="s">
        <v>32</v>
      </c>
      <c r="E177" s="12">
        <v>45688.0</v>
      </c>
      <c r="F177" s="8">
        <v>85.07</v>
      </c>
      <c r="H177" s="8" t="s">
        <v>41</v>
      </c>
      <c r="I177" s="8">
        <v>1068.0</v>
      </c>
    </row>
    <row r="178">
      <c r="A178" s="8">
        <v>176.0</v>
      </c>
      <c r="B178" s="8" t="s">
        <v>44</v>
      </c>
      <c r="C178" s="8" t="s">
        <v>27</v>
      </c>
      <c r="D178" s="8" t="s">
        <v>43</v>
      </c>
      <c r="E178" s="12">
        <v>45659.0</v>
      </c>
      <c r="F178" s="8">
        <v>39.76</v>
      </c>
      <c r="H178" s="8" t="s">
        <v>33</v>
      </c>
      <c r="I178" s="8">
        <v>1072.0</v>
      </c>
    </row>
    <row r="179">
      <c r="A179" s="8">
        <v>177.0</v>
      </c>
      <c r="B179" s="8" t="s">
        <v>38</v>
      </c>
      <c r="C179" s="8" t="s">
        <v>37</v>
      </c>
      <c r="D179" s="8" t="s">
        <v>32</v>
      </c>
      <c r="E179" s="12">
        <v>45729.0</v>
      </c>
      <c r="F179" s="8">
        <v>57.24</v>
      </c>
      <c r="G179" s="8" t="s">
        <v>29</v>
      </c>
      <c r="H179" s="8" t="s">
        <v>33</v>
      </c>
      <c r="I179" s="8">
        <v>1012.0</v>
      </c>
    </row>
    <row r="180">
      <c r="A180" s="8">
        <v>178.0</v>
      </c>
      <c r="B180" s="8" t="s">
        <v>26</v>
      </c>
      <c r="C180" s="8" t="s">
        <v>37</v>
      </c>
      <c r="D180" s="8" t="s">
        <v>28</v>
      </c>
      <c r="E180" s="12">
        <v>45708.0</v>
      </c>
      <c r="F180" s="8">
        <v>52.51</v>
      </c>
      <c r="G180" s="8" t="s">
        <v>29</v>
      </c>
      <c r="H180" s="8" t="s">
        <v>33</v>
      </c>
      <c r="I180" s="8">
        <v>1017.0</v>
      </c>
    </row>
    <row r="181">
      <c r="A181" s="8">
        <v>179.0</v>
      </c>
      <c r="B181" s="8" t="s">
        <v>44</v>
      </c>
      <c r="C181" s="8" t="s">
        <v>42</v>
      </c>
      <c r="D181" s="8" t="s">
        <v>28</v>
      </c>
      <c r="E181" s="12">
        <v>45749.0</v>
      </c>
      <c r="F181" s="8">
        <v>36.16</v>
      </c>
      <c r="G181" s="8" t="s">
        <v>36</v>
      </c>
      <c r="H181" s="8" t="s">
        <v>33</v>
      </c>
      <c r="I181" s="8">
        <v>1050.0</v>
      </c>
    </row>
    <row r="182">
      <c r="A182" s="8">
        <v>180.0</v>
      </c>
      <c r="B182" s="8" t="s">
        <v>26</v>
      </c>
      <c r="C182" s="8" t="s">
        <v>37</v>
      </c>
      <c r="D182" s="8" t="s">
        <v>35</v>
      </c>
      <c r="E182" s="12">
        <v>45736.0</v>
      </c>
      <c r="F182" s="8">
        <v>82.5</v>
      </c>
      <c r="G182" s="8" t="s">
        <v>36</v>
      </c>
      <c r="H182" s="8" t="s">
        <v>41</v>
      </c>
      <c r="I182" s="8">
        <v>1086.0</v>
      </c>
    </row>
    <row r="183">
      <c r="A183" s="8">
        <v>181.0</v>
      </c>
      <c r="B183" s="8" t="s">
        <v>38</v>
      </c>
      <c r="C183" s="8" t="s">
        <v>37</v>
      </c>
      <c r="D183" s="8" t="s">
        <v>32</v>
      </c>
      <c r="E183" s="12">
        <v>45672.0</v>
      </c>
      <c r="F183" s="8">
        <v>67.28</v>
      </c>
      <c r="G183" s="8" t="s">
        <v>40</v>
      </c>
      <c r="H183" s="8" t="s">
        <v>30</v>
      </c>
      <c r="I183" s="8">
        <v>1006.0</v>
      </c>
    </row>
    <row r="184">
      <c r="A184" s="8">
        <v>182.0</v>
      </c>
      <c r="B184" s="8" t="s">
        <v>38</v>
      </c>
      <c r="C184" s="8" t="s">
        <v>42</v>
      </c>
      <c r="D184" s="8" t="s">
        <v>28</v>
      </c>
      <c r="E184" s="12">
        <v>45732.0</v>
      </c>
      <c r="F184" s="8">
        <v>59.39</v>
      </c>
      <c r="G184" s="8" t="s">
        <v>29</v>
      </c>
      <c r="H184" s="8" t="s">
        <v>33</v>
      </c>
      <c r="I184" s="8">
        <v>1002.0</v>
      </c>
    </row>
    <row r="185">
      <c r="A185" s="8">
        <v>183.0</v>
      </c>
      <c r="B185" s="8" t="s">
        <v>31</v>
      </c>
      <c r="C185" s="8" t="s">
        <v>42</v>
      </c>
      <c r="D185" s="8" t="s">
        <v>28</v>
      </c>
      <c r="E185" s="12">
        <v>45714.0</v>
      </c>
      <c r="F185" s="8">
        <v>92.45</v>
      </c>
      <c r="G185" s="8" t="s">
        <v>29</v>
      </c>
      <c r="H185" s="8" t="s">
        <v>30</v>
      </c>
      <c r="I185" s="8">
        <v>1017.0</v>
      </c>
    </row>
    <row r="186">
      <c r="A186" s="8">
        <v>184.0</v>
      </c>
      <c r="B186" s="8" t="s">
        <v>26</v>
      </c>
      <c r="C186" s="8" t="s">
        <v>42</v>
      </c>
      <c r="D186" s="8" t="s">
        <v>35</v>
      </c>
      <c r="E186" s="12">
        <v>45724.0</v>
      </c>
      <c r="F186" s="8">
        <v>91.65</v>
      </c>
      <c r="G186" s="8" t="s">
        <v>36</v>
      </c>
      <c r="H186" s="8" t="s">
        <v>30</v>
      </c>
      <c r="I186" s="8">
        <v>1045.0</v>
      </c>
    </row>
    <row r="187">
      <c r="A187" s="8">
        <v>185.0</v>
      </c>
      <c r="B187" s="8" t="s">
        <v>26</v>
      </c>
      <c r="C187" s="8" t="s">
        <v>42</v>
      </c>
      <c r="D187" s="8" t="s">
        <v>28</v>
      </c>
      <c r="E187" s="12">
        <v>45744.0</v>
      </c>
      <c r="F187" s="8">
        <v>33.36</v>
      </c>
      <c r="G187" s="8" t="s">
        <v>36</v>
      </c>
      <c r="H187" s="8" t="s">
        <v>41</v>
      </c>
      <c r="I187" s="8">
        <v>1090.0</v>
      </c>
    </row>
    <row r="188">
      <c r="A188" s="8">
        <v>186.0</v>
      </c>
      <c r="B188" s="8" t="s">
        <v>44</v>
      </c>
      <c r="C188" s="8" t="s">
        <v>37</v>
      </c>
      <c r="D188" s="8" t="s">
        <v>35</v>
      </c>
      <c r="E188" s="12">
        <v>45684.0</v>
      </c>
      <c r="F188" s="8">
        <v>80.56</v>
      </c>
      <c r="G188" s="8" t="s">
        <v>36</v>
      </c>
      <c r="H188" s="8" t="s">
        <v>41</v>
      </c>
      <c r="I188" s="8">
        <v>1015.0</v>
      </c>
    </row>
    <row r="189">
      <c r="A189" s="8">
        <v>187.0</v>
      </c>
      <c r="B189" s="8" t="s">
        <v>44</v>
      </c>
      <c r="C189" s="8" t="s">
        <v>42</v>
      </c>
      <c r="D189" s="8" t="s">
        <v>43</v>
      </c>
      <c r="E189" s="12">
        <v>45731.0</v>
      </c>
      <c r="F189" s="8">
        <v>32.59</v>
      </c>
      <c r="G189" s="8" t="s">
        <v>36</v>
      </c>
      <c r="H189" s="8" t="s">
        <v>30</v>
      </c>
      <c r="I189" s="8">
        <v>1010.0</v>
      </c>
    </row>
    <row r="190">
      <c r="A190" s="8">
        <v>188.0</v>
      </c>
      <c r="B190" s="8" t="s">
        <v>26</v>
      </c>
      <c r="C190" s="8" t="s">
        <v>42</v>
      </c>
      <c r="D190" s="8" t="s">
        <v>28</v>
      </c>
      <c r="E190" s="12">
        <v>45702.0</v>
      </c>
      <c r="F190" s="8">
        <v>93.64</v>
      </c>
      <c r="G190" s="8" t="s">
        <v>36</v>
      </c>
      <c r="H190" s="8" t="s">
        <v>33</v>
      </c>
      <c r="I190" s="8">
        <v>1013.0</v>
      </c>
    </row>
    <row r="191">
      <c r="A191" s="8">
        <v>189.0</v>
      </c>
      <c r="B191" s="8" t="s">
        <v>31</v>
      </c>
      <c r="C191" s="8" t="s">
        <v>27</v>
      </c>
      <c r="D191" s="8" t="s">
        <v>32</v>
      </c>
      <c r="E191" s="12">
        <v>45736.0</v>
      </c>
      <c r="F191" s="8">
        <v>65.6</v>
      </c>
      <c r="G191" s="8" t="s">
        <v>29</v>
      </c>
      <c r="H191" s="8" t="s">
        <v>33</v>
      </c>
      <c r="I191" s="8">
        <v>1052.0</v>
      </c>
    </row>
    <row r="192">
      <c r="A192" s="8">
        <v>190.0</v>
      </c>
      <c r="B192" s="8" t="s">
        <v>34</v>
      </c>
      <c r="C192" s="8" t="s">
        <v>27</v>
      </c>
      <c r="D192" s="8" t="s">
        <v>32</v>
      </c>
      <c r="E192" s="12">
        <v>45700.0</v>
      </c>
      <c r="F192" s="8">
        <v>20.0</v>
      </c>
      <c r="H192" s="8" t="s">
        <v>41</v>
      </c>
      <c r="I192" s="8">
        <v>1083.0</v>
      </c>
    </row>
    <row r="193">
      <c r="A193" s="8">
        <v>191.0</v>
      </c>
      <c r="B193" s="8" t="s">
        <v>26</v>
      </c>
      <c r="C193" s="8" t="s">
        <v>37</v>
      </c>
      <c r="D193" s="8" t="s">
        <v>43</v>
      </c>
      <c r="E193" s="12">
        <v>45683.0</v>
      </c>
      <c r="F193" s="8">
        <v>13.5</v>
      </c>
      <c r="G193" s="8" t="s">
        <v>40</v>
      </c>
      <c r="H193" s="8" t="s">
        <v>30</v>
      </c>
      <c r="I193" s="8">
        <v>1094.0</v>
      </c>
    </row>
    <row r="194">
      <c r="A194" s="8">
        <v>192.0</v>
      </c>
      <c r="B194" s="8" t="s">
        <v>34</v>
      </c>
      <c r="C194" s="8" t="s">
        <v>27</v>
      </c>
      <c r="D194" s="8" t="s">
        <v>35</v>
      </c>
      <c r="E194" s="12">
        <v>45750.0</v>
      </c>
      <c r="F194" s="8">
        <v>92.37</v>
      </c>
      <c r="H194" s="8" t="s">
        <v>41</v>
      </c>
      <c r="I194" s="8">
        <v>1023.0</v>
      </c>
    </row>
    <row r="195">
      <c r="A195" s="8">
        <v>193.0</v>
      </c>
      <c r="B195" s="8" t="s">
        <v>26</v>
      </c>
      <c r="C195" s="8" t="s">
        <v>45</v>
      </c>
      <c r="D195" s="8" t="s">
        <v>32</v>
      </c>
      <c r="E195" s="12">
        <v>45777.0</v>
      </c>
      <c r="F195" s="8">
        <v>93.2</v>
      </c>
      <c r="G195" s="8" t="s">
        <v>36</v>
      </c>
      <c r="H195" s="8" t="s">
        <v>41</v>
      </c>
      <c r="I195" s="8">
        <v>1058.0</v>
      </c>
    </row>
    <row r="196">
      <c r="A196" s="8">
        <v>194.0</v>
      </c>
      <c r="B196" s="8" t="s">
        <v>44</v>
      </c>
      <c r="C196" s="8" t="s">
        <v>27</v>
      </c>
      <c r="D196" s="8" t="s">
        <v>35</v>
      </c>
      <c r="E196" s="12">
        <v>45740.0</v>
      </c>
      <c r="F196" s="8">
        <v>36.41</v>
      </c>
      <c r="H196" s="8" t="s">
        <v>30</v>
      </c>
      <c r="I196" s="8">
        <v>1032.0</v>
      </c>
    </row>
    <row r="197">
      <c r="A197" s="8">
        <v>195.0</v>
      </c>
      <c r="B197" s="8" t="s">
        <v>26</v>
      </c>
      <c r="C197" s="8" t="s">
        <v>37</v>
      </c>
      <c r="D197" s="8" t="s">
        <v>28</v>
      </c>
      <c r="E197" s="12">
        <v>45749.0</v>
      </c>
      <c r="F197" s="8">
        <v>90.22</v>
      </c>
      <c r="H197" s="8" t="s">
        <v>30</v>
      </c>
      <c r="I197" s="8">
        <v>1041.0</v>
      </c>
    </row>
    <row r="198">
      <c r="A198" s="8">
        <v>196.0</v>
      </c>
      <c r="B198" s="8" t="s">
        <v>34</v>
      </c>
      <c r="C198" s="8" t="s">
        <v>27</v>
      </c>
      <c r="D198" s="8" t="s">
        <v>28</v>
      </c>
      <c r="E198" s="12">
        <v>45669.0</v>
      </c>
      <c r="F198" s="8">
        <v>5.65</v>
      </c>
      <c r="H198" s="8" t="s">
        <v>33</v>
      </c>
      <c r="I198" s="8">
        <v>1057.0</v>
      </c>
    </row>
    <row r="199">
      <c r="A199" s="8">
        <v>197.0</v>
      </c>
      <c r="B199" s="8" t="s">
        <v>26</v>
      </c>
      <c r="C199" s="8" t="s">
        <v>37</v>
      </c>
      <c r="D199" s="8" t="s">
        <v>32</v>
      </c>
      <c r="E199" s="12">
        <v>45754.0</v>
      </c>
      <c r="F199" s="8">
        <v>27.45</v>
      </c>
      <c r="G199" s="8" t="s">
        <v>29</v>
      </c>
      <c r="H199" s="8" t="s">
        <v>41</v>
      </c>
      <c r="I199" s="8">
        <v>1039.0</v>
      </c>
    </row>
    <row r="200">
      <c r="A200" s="8">
        <v>198.0</v>
      </c>
      <c r="B200" s="8" t="s">
        <v>38</v>
      </c>
      <c r="C200" s="8" t="s">
        <v>37</v>
      </c>
      <c r="D200" s="8" t="s">
        <v>32</v>
      </c>
      <c r="E200" s="12">
        <v>45678.0</v>
      </c>
      <c r="F200" s="8">
        <v>39.92</v>
      </c>
      <c r="G200" s="8" t="s">
        <v>40</v>
      </c>
      <c r="H200" s="8" t="s">
        <v>33</v>
      </c>
      <c r="I200" s="8">
        <v>1017.0</v>
      </c>
    </row>
    <row r="201">
      <c r="A201" s="8">
        <v>199.0</v>
      </c>
      <c r="B201" s="8" t="s">
        <v>38</v>
      </c>
      <c r="C201" s="8" t="s">
        <v>37</v>
      </c>
      <c r="D201" s="8" t="s">
        <v>35</v>
      </c>
      <c r="E201" s="12">
        <v>45719.0</v>
      </c>
      <c r="F201" s="8">
        <v>76.95</v>
      </c>
      <c r="G201" s="8" t="s">
        <v>40</v>
      </c>
      <c r="H201" s="8" t="s">
        <v>33</v>
      </c>
      <c r="I201" s="8">
        <v>1087.0</v>
      </c>
    </row>
    <row r="202">
      <c r="A202" s="8">
        <v>200.0</v>
      </c>
      <c r="B202" s="8" t="s">
        <v>34</v>
      </c>
      <c r="C202" s="8" t="s">
        <v>42</v>
      </c>
      <c r="D202" s="8" t="s">
        <v>43</v>
      </c>
      <c r="E202" s="12">
        <v>45754.0</v>
      </c>
      <c r="F202" s="8">
        <v>10.87</v>
      </c>
      <c r="G202" s="8" t="s">
        <v>40</v>
      </c>
      <c r="H202" s="8" t="s">
        <v>30</v>
      </c>
      <c r="I202" s="8">
        <v>1068.0</v>
      </c>
    </row>
    <row r="203">
      <c r="A203" s="8">
        <v>201.0</v>
      </c>
      <c r="B203" s="8" t="s">
        <v>38</v>
      </c>
      <c r="C203" s="8" t="s">
        <v>42</v>
      </c>
      <c r="D203" s="8" t="s">
        <v>32</v>
      </c>
      <c r="E203" s="12">
        <v>45677.0</v>
      </c>
      <c r="F203" s="8">
        <v>51.44</v>
      </c>
      <c r="H203" s="8" t="s">
        <v>33</v>
      </c>
      <c r="I203" s="8">
        <v>1058.0</v>
      </c>
    </row>
    <row r="204">
      <c r="A204" s="8">
        <v>202.0</v>
      </c>
      <c r="B204" s="8" t="s">
        <v>44</v>
      </c>
      <c r="C204" s="8" t="s">
        <v>45</v>
      </c>
      <c r="D204" s="8" t="s">
        <v>35</v>
      </c>
      <c r="E204" s="12">
        <v>45674.0</v>
      </c>
      <c r="F204" s="8">
        <v>7.07</v>
      </c>
      <c r="G204" s="8" t="s">
        <v>36</v>
      </c>
      <c r="H204" s="8" t="s">
        <v>33</v>
      </c>
      <c r="I204" s="8">
        <v>1095.0</v>
      </c>
    </row>
    <row r="205">
      <c r="A205" s="8">
        <v>203.0</v>
      </c>
      <c r="B205" s="8" t="s">
        <v>34</v>
      </c>
      <c r="C205" s="8" t="s">
        <v>42</v>
      </c>
      <c r="D205" s="8" t="s">
        <v>43</v>
      </c>
      <c r="E205" s="12">
        <v>45685.0</v>
      </c>
      <c r="F205" s="8">
        <v>10.72</v>
      </c>
      <c r="G205" s="8" t="s">
        <v>29</v>
      </c>
      <c r="H205" s="8" t="s">
        <v>41</v>
      </c>
      <c r="I205" s="8">
        <v>1004.0</v>
      </c>
    </row>
    <row r="206">
      <c r="A206" s="8">
        <v>204.0</v>
      </c>
      <c r="B206" s="8" t="s">
        <v>31</v>
      </c>
      <c r="C206" s="8" t="s">
        <v>42</v>
      </c>
      <c r="D206" s="8" t="s">
        <v>43</v>
      </c>
      <c r="E206" s="12">
        <v>45694.0</v>
      </c>
      <c r="F206" s="8">
        <v>87.61</v>
      </c>
      <c r="H206" s="8" t="s">
        <v>41</v>
      </c>
      <c r="I206" s="8">
        <v>1010.0</v>
      </c>
    </row>
    <row r="207">
      <c r="A207" s="8">
        <v>205.0</v>
      </c>
      <c r="B207" s="8" t="s">
        <v>38</v>
      </c>
      <c r="C207" s="8" t="s">
        <v>27</v>
      </c>
      <c r="D207" s="8" t="s">
        <v>43</v>
      </c>
      <c r="E207" s="12">
        <v>45745.0</v>
      </c>
      <c r="F207" s="8">
        <v>42.34</v>
      </c>
      <c r="G207" s="8" t="s">
        <v>40</v>
      </c>
      <c r="H207" s="8" t="s">
        <v>30</v>
      </c>
      <c r="I207" s="8">
        <v>1028.0</v>
      </c>
    </row>
    <row r="208">
      <c r="B208" s="8" t="s">
        <v>34</v>
      </c>
      <c r="C208" s="8" t="s">
        <v>37</v>
      </c>
      <c r="D208" s="8" t="s">
        <v>35</v>
      </c>
      <c r="E208" s="12">
        <v>45764.0</v>
      </c>
      <c r="F208" s="8">
        <v>55.53</v>
      </c>
      <c r="G208" s="8" t="s">
        <v>40</v>
      </c>
      <c r="H208" s="8" t="s">
        <v>33</v>
      </c>
      <c r="I208" s="8">
        <v>1058.0</v>
      </c>
    </row>
    <row r="209">
      <c r="A209" s="8">
        <v>207.0</v>
      </c>
      <c r="B209" s="8" t="s">
        <v>31</v>
      </c>
      <c r="C209" s="8" t="s">
        <v>45</v>
      </c>
      <c r="D209" s="8" t="s">
        <v>32</v>
      </c>
      <c r="E209" s="12">
        <v>45702.0</v>
      </c>
      <c r="F209" s="8">
        <v>77.78</v>
      </c>
      <c r="G209" s="8" t="s">
        <v>29</v>
      </c>
      <c r="H209" s="8" t="s">
        <v>33</v>
      </c>
      <c r="I209" s="8">
        <v>1026.0</v>
      </c>
    </row>
    <row r="210">
      <c r="A210" s="8">
        <v>208.0</v>
      </c>
      <c r="B210" s="8" t="s">
        <v>34</v>
      </c>
      <c r="C210" s="8" t="s">
        <v>42</v>
      </c>
      <c r="D210" s="8" t="s">
        <v>32</v>
      </c>
      <c r="E210" s="12">
        <v>45666.0</v>
      </c>
      <c r="F210" s="8" t="s">
        <v>39</v>
      </c>
      <c r="H210" s="8" t="s">
        <v>33</v>
      </c>
      <c r="I210" s="8">
        <v>1069.0</v>
      </c>
    </row>
    <row r="211">
      <c r="A211" s="8">
        <v>209.0</v>
      </c>
      <c r="B211" s="8" t="s">
        <v>34</v>
      </c>
      <c r="C211" s="8" t="s">
        <v>27</v>
      </c>
      <c r="D211" s="8" t="s">
        <v>43</v>
      </c>
      <c r="E211" s="12">
        <v>45685.0</v>
      </c>
      <c r="F211" s="8">
        <v>59.73</v>
      </c>
      <c r="G211" s="8" t="s">
        <v>36</v>
      </c>
      <c r="H211" s="8" t="s">
        <v>33</v>
      </c>
      <c r="I211" s="8">
        <v>1038.0</v>
      </c>
    </row>
    <row r="212">
      <c r="A212" s="8">
        <v>210.0</v>
      </c>
      <c r="B212" s="8" t="s">
        <v>38</v>
      </c>
      <c r="C212" s="8" t="s">
        <v>27</v>
      </c>
      <c r="D212" s="8" t="s">
        <v>35</v>
      </c>
      <c r="E212" s="12">
        <v>45770.0</v>
      </c>
      <c r="F212" s="8">
        <v>95.11</v>
      </c>
      <c r="G212" s="8" t="s">
        <v>40</v>
      </c>
      <c r="H212" s="8" t="s">
        <v>30</v>
      </c>
      <c r="I212" s="8">
        <v>1086.0</v>
      </c>
    </row>
    <row r="213">
      <c r="A213" s="8">
        <v>211.0</v>
      </c>
      <c r="B213" s="8" t="s">
        <v>34</v>
      </c>
      <c r="C213" s="8" t="s">
        <v>37</v>
      </c>
      <c r="D213" s="8" t="s">
        <v>35</v>
      </c>
      <c r="E213" s="12">
        <v>45712.0</v>
      </c>
      <c r="F213" s="8">
        <v>44.55</v>
      </c>
      <c r="G213" s="8" t="s">
        <v>40</v>
      </c>
      <c r="H213" s="8" t="s">
        <v>41</v>
      </c>
      <c r="I213" s="8">
        <v>1048.0</v>
      </c>
    </row>
    <row r="214">
      <c r="A214" s="8">
        <v>212.0</v>
      </c>
      <c r="B214" s="8" t="s">
        <v>44</v>
      </c>
      <c r="C214" s="8" t="s">
        <v>27</v>
      </c>
      <c r="D214" s="8" t="s">
        <v>28</v>
      </c>
      <c r="E214" s="12">
        <v>45681.0</v>
      </c>
      <c r="F214" s="8">
        <v>81.55</v>
      </c>
      <c r="G214" s="8" t="s">
        <v>29</v>
      </c>
      <c r="H214" s="8" t="s">
        <v>30</v>
      </c>
      <c r="I214" s="8">
        <v>1052.0</v>
      </c>
    </row>
    <row r="215">
      <c r="A215" s="8">
        <v>213.0</v>
      </c>
      <c r="B215" s="8" t="s">
        <v>31</v>
      </c>
      <c r="C215" s="8" t="s">
        <v>42</v>
      </c>
      <c r="D215" s="8" t="s">
        <v>28</v>
      </c>
      <c r="E215" s="12">
        <v>45711.0</v>
      </c>
      <c r="F215" s="8">
        <v>12.51</v>
      </c>
      <c r="H215" s="8" t="s">
        <v>41</v>
      </c>
      <c r="I215" s="8">
        <v>1011.0</v>
      </c>
    </row>
    <row r="216">
      <c r="A216" s="8">
        <v>214.0</v>
      </c>
      <c r="B216" s="8" t="s">
        <v>31</v>
      </c>
      <c r="C216" s="8" t="s">
        <v>45</v>
      </c>
      <c r="D216" s="8" t="s">
        <v>43</v>
      </c>
      <c r="E216" s="12">
        <v>45726.0</v>
      </c>
      <c r="F216" s="8">
        <v>8.76</v>
      </c>
      <c r="G216" s="8" t="s">
        <v>29</v>
      </c>
      <c r="H216" s="8" t="s">
        <v>33</v>
      </c>
      <c r="I216" s="8">
        <v>1097.0</v>
      </c>
    </row>
    <row r="217">
      <c r="A217" s="8">
        <v>215.0</v>
      </c>
      <c r="B217" s="8" t="s">
        <v>38</v>
      </c>
      <c r="C217" s="8" t="s">
        <v>27</v>
      </c>
      <c r="D217" s="8" t="s">
        <v>35</v>
      </c>
      <c r="E217" s="12">
        <v>45733.0</v>
      </c>
      <c r="F217" s="8">
        <v>33.8</v>
      </c>
      <c r="G217" s="8" t="s">
        <v>29</v>
      </c>
      <c r="H217" s="8" t="s">
        <v>33</v>
      </c>
      <c r="I217" s="8">
        <v>1024.0</v>
      </c>
    </row>
    <row r="218">
      <c r="A218" s="8">
        <v>216.0</v>
      </c>
      <c r="B218" s="8" t="s">
        <v>44</v>
      </c>
      <c r="C218" s="8" t="s">
        <v>27</v>
      </c>
      <c r="D218" s="8" t="s">
        <v>28</v>
      </c>
      <c r="E218" s="12">
        <v>45752.0</v>
      </c>
      <c r="F218" s="8">
        <v>35.55</v>
      </c>
      <c r="G218" s="8" t="s">
        <v>36</v>
      </c>
      <c r="H218" s="8" t="s">
        <v>41</v>
      </c>
      <c r="I218" s="8">
        <v>1059.0</v>
      </c>
    </row>
    <row r="219">
      <c r="A219" s="8">
        <v>217.0</v>
      </c>
      <c r="B219" s="8" t="s">
        <v>26</v>
      </c>
      <c r="C219" s="8" t="s">
        <v>37</v>
      </c>
      <c r="D219" s="8" t="s">
        <v>43</v>
      </c>
      <c r="E219" s="12">
        <v>45726.0</v>
      </c>
      <c r="F219" s="8">
        <v>14.37</v>
      </c>
      <c r="H219" s="8" t="s">
        <v>41</v>
      </c>
      <c r="I219" s="8">
        <v>1026.0</v>
      </c>
    </row>
    <row r="220">
      <c r="A220" s="8">
        <v>218.0</v>
      </c>
      <c r="B220" s="8" t="s">
        <v>34</v>
      </c>
      <c r="C220" s="8" t="s">
        <v>27</v>
      </c>
      <c r="D220" s="8" t="s">
        <v>28</v>
      </c>
      <c r="E220" s="8" t="s">
        <v>48</v>
      </c>
      <c r="F220" s="8">
        <v>60.48</v>
      </c>
      <c r="H220" s="8" t="s">
        <v>41</v>
      </c>
      <c r="I220" s="8">
        <v>1019.0</v>
      </c>
    </row>
    <row r="221">
      <c r="A221" s="8">
        <v>219.0</v>
      </c>
      <c r="B221" s="8" t="s">
        <v>44</v>
      </c>
      <c r="C221" s="8" t="s">
        <v>27</v>
      </c>
      <c r="D221" s="8" t="s">
        <v>35</v>
      </c>
      <c r="E221" s="12">
        <v>45683.0</v>
      </c>
      <c r="F221" s="8">
        <v>37.07</v>
      </c>
      <c r="H221" s="8" t="s">
        <v>30</v>
      </c>
      <c r="I221" s="8">
        <v>1082.0</v>
      </c>
    </row>
    <row r="222">
      <c r="A222" s="8">
        <v>220.0</v>
      </c>
      <c r="B222" s="8" t="s">
        <v>31</v>
      </c>
      <c r="C222" s="8" t="s">
        <v>37</v>
      </c>
      <c r="D222" s="8" t="s">
        <v>28</v>
      </c>
      <c r="E222" s="12">
        <v>45752.0</v>
      </c>
      <c r="F222" s="8">
        <v>22.48</v>
      </c>
      <c r="G222" s="8" t="s">
        <v>29</v>
      </c>
      <c r="H222" s="8" t="s">
        <v>30</v>
      </c>
      <c r="I222" s="8">
        <v>1004.0</v>
      </c>
    </row>
    <row r="223">
      <c r="A223" s="8">
        <v>221.0</v>
      </c>
      <c r="B223" s="8" t="s">
        <v>34</v>
      </c>
      <c r="C223" s="8" t="s">
        <v>45</v>
      </c>
      <c r="D223" s="8" t="s">
        <v>35</v>
      </c>
      <c r="E223" s="12">
        <v>45765.0</v>
      </c>
      <c r="F223" s="8">
        <v>11.46</v>
      </c>
      <c r="G223" s="8" t="s">
        <v>40</v>
      </c>
      <c r="H223" s="8" t="s">
        <v>33</v>
      </c>
      <c r="I223" s="8">
        <v>1027.0</v>
      </c>
    </row>
    <row r="224">
      <c r="A224" s="8">
        <v>222.0</v>
      </c>
      <c r="B224" s="8" t="s">
        <v>34</v>
      </c>
      <c r="C224" s="8" t="s">
        <v>42</v>
      </c>
      <c r="D224" s="8" t="s">
        <v>35</v>
      </c>
      <c r="E224" s="13">
        <v>45811.0</v>
      </c>
      <c r="F224" s="8">
        <v>44.08</v>
      </c>
      <c r="G224" s="8" t="s">
        <v>29</v>
      </c>
      <c r="H224" s="8" t="s">
        <v>30</v>
      </c>
      <c r="I224" s="8">
        <v>1092.0</v>
      </c>
    </row>
    <row r="225">
      <c r="A225" s="8">
        <v>223.0</v>
      </c>
      <c r="B225" s="8" t="s">
        <v>26</v>
      </c>
      <c r="C225" s="8" t="s">
        <v>45</v>
      </c>
      <c r="D225" s="8" t="s">
        <v>35</v>
      </c>
      <c r="E225" s="12">
        <v>45693.0</v>
      </c>
      <c r="F225" s="8">
        <v>15.17</v>
      </c>
      <c r="G225" s="8" t="s">
        <v>29</v>
      </c>
      <c r="H225" s="8" t="s">
        <v>30</v>
      </c>
      <c r="I225" s="8">
        <v>1019.0</v>
      </c>
    </row>
    <row r="226">
      <c r="A226" s="8">
        <v>224.0</v>
      </c>
      <c r="B226" s="8" t="s">
        <v>38</v>
      </c>
      <c r="C226" s="8" t="s">
        <v>37</v>
      </c>
      <c r="D226" s="8" t="s">
        <v>43</v>
      </c>
      <c r="E226" s="12">
        <v>45688.0</v>
      </c>
      <c r="F226" s="8">
        <v>40.44</v>
      </c>
      <c r="H226" s="8" t="s">
        <v>41</v>
      </c>
      <c r="I226" s="8">
        <v>1072.0</v>
      </c>
    </row>
    <row r="227">
      <c r="A227" s="8">
        <v>225.0</v>
      </c>
      <c r="B227" s="8" t="s">
        <v>31</v>
      </c>
      <c r="C227" s="8" t="s">
        <v>37</v>
      </c>
      <c r="D227" s="8" t="s">
        <v>32</v>
      </c>
      <c r="E227" s="12">
        <v>45689.0</v>
      </c>
      <c r="F227" s="8">
        <v>77.16</v>
      </c>
      <c r="G227" s="8" t="s">
        <v>29</v>
      </c>
      <c r="H227" s="8" t="s">
        <v>41</v>
      </c>
      <c r="I227" s="8">
        <v>1048.0</v>
      </c>
    </row>
    <row r="228">
      <c r="A228" s="8">
        <v>226.0</v>
      </c>
      <c r="B228" s="8" t="s">
        <v>34</v>
      </c>
      <c r="C228" s="8" t="s">
        <v>45</v>
      </c>
      <c r="D228" s="8" t="s">
        <v>28</v>
      </c>
      <c r="E228" s="12">
        <v>45706.0</v>
      </c>
      <c r="F228" s="8">
        <v>66.27</v>
      </c>
      <c r="G228" s="8" t="s">
        <v>36</v>
      </c>
      <c r="H228" s="8" t="s">
        <v>30</v>
      </c>
      <c r="I228" s="8">
        <v>1012.0</v>
      </c>
    </row>
    <row r="229">
      <c r="A229" s="8">
        <v>227.0</v>
      </c>
      <c r="B229" s="8" t="s">
        <v>34</v>
      </c>
      <c r="C229" s="8" t="s">
        <v>27</v>
      </c>
      <c r="D229" s="8" t="s">
        <v>28</v>
      </c>
      <c r="E229" s="12">
        <v>45772.0</v>
      </c>
      <c r="F229" s="8">
        <v>58.84</v>
      </c>
      <c r="G229" s="8" t="s">
        <v>36</v>
      </c>
      <c r="H229" s="8" t="s">
        <v>33</v>
      </c>
      <c r="I229" s="8">
        <v>1009.0</v>
      </c>
    </row>
    <row r="230">
      <c r="A230" s="8">
        <v>228.0</v>
      </c>
      <c r="B230" s="8" t="s">
        <v>38</v>
      </c>
      <c r="C230" s="8" t="s">
        <v>45</v>
      </c>
      <c r="D230" s="8" t="s">
        <v>28</v>
      </c>
      <c r="E230" s="12">
        <v>45745.0</v>
      </c>
      <c r="F230" s="8">
        <v>96.34</v>
      </c>
      <c r="G230" s="8" t="s">
        <v>40</v>
      </c>
      <c r="H230" s="8" t="s">
        <v>30</v>
      </c>
      <c r="I230" s="8">
        <v>1050.0</v>
      </c>
    </row>
    <row r="231">
      <c r="A231" s="8">
        <v>229.0</v>
      </c>
      <c r="B231" s="8" t="s">
        <v>31</v>
      </c>
      <c r="C231" s="8" t="s">
        <v>27</v>
      </c>
      <c r="D231" s="8" t="s">
        <v>35</v>
      </c>
      <c r="E231" s="12">
        <v>45776.0</v>
      </c>
      <c r="F231" s="8">
        <v>41.47</v>
      </c>
      <c r="G231" s="8" t="s">
        <v>40</v>
      </c>
      <c r="H231" s="8" t="s">
        <v>30</v>
      </c>
      <c r="I231" s="8">
        <v>1092.0</v>
      </c>
    </row>
    <row r="232">
      <c r="A232" s="8">
        <v>230.0</v>
      </c>
      <c r="B232" s="8" t="s">
        <v>26</v>
      </c>
      <c r="C232" s="8" t="s">
        <v>45</v>
      </c>
      <c r="D232" s="8" t="s">
        <v>32</v>
      </c>
      <c r="E232" s="12">
        <v>45668.0</v>
      </c>
      <c r="F232" s="8">
        <v>37.36</v>
      </c>
      <c r="H232" s="8" t="s">
        <v>41</v>
      </c>
      <c r="I232" s="8">
        <v>1003.0</v>
      </c>
    </row>
    <row r="233">
      <c r="A233" s="8">
        <v>231.0</v>
      </c>
      <c r="B233" s="8" t="s">
        <v>44</v>
      </c>
      <c r="C233" s="8" t="s">
        <v>42</v>
      </c>
      <c r="D233" s="8" t="s">
        <v>28</v>
      </c>
      <c r="E233" s="12">
        <v>45739.0</v>
      </c>
      <c r="F233" s="8">
        <v>46.03</v>
      </c>
      <c r="H233" s="8" t="s">
        <v>33</v>
      </c>
      <c r="I233" s="8">
        <v>1098.0</v>
      </c>
    </row>
    <row r="234">
      <c r="A234" s="8">
        <v>232.0</v>
      </c>
      <c r="B234" s="8" t="s">
        <v>31</v>
      </c>
      <c r="C234" s="8" t="s">
        <v>45</v>
      </c>
      <c r="D234" s="8" t="s">
        <v>32</v>
      </c>
      <c r="E234" s="12">
        <v>45737.0</v>
      </c>
      <c r="F234" s="8">
        <v>79.47</v>
      </c>
      <c r="G234" s="8" t="s">
        <v>40</v>
      </c>
      <c r="H234" s="8" t="s">
        <v>30</v>
      </c>
      <c r="I234" s="8">
        <v>1049.0</v>
      </c>
    </row>
    <row r="235">
      <c r="A235" s="8">
        <v>233.0</v>
      </c>
      <c r="B235" s="8" t="s">
        <v>34</v>
      </c>
      <c r="C235" s="8" t="s">
        <v>45</v>
      </c>
      <c r="D235" s="8" t="s">
        <v>43</v>
      </c>
      <c r="E235" s="12">
        <v>45698.0</v>
      </c>
      <c r="F235" s="8">
        <v>14.71</v>
      </c>
      <c r="G235" s="8" t="s">
        <v>29</v>
      </c>
      <c r="H235" s="8" t="s">
        <v>33</v>
      </c>
      <c r="I235" s="8">
        <v>1055.0</v>
      </c>
    </row>
    <row r="236">
      <c r="A236" s="8">
        <v>234.0</v>
      </c>
      <c r="B236" s="8" t="s">
        <v>38</v>
      </c>
      <c r="C236" s="8" t="s">
        <v>42</v>
      </c>
      <c r="D236" s="8" t="s">
        <v>32</v>
      </c>
      <c r="E236" s="8" t="s">
        <v>49</v>
      </c>
      <c r="F236" s="8">
        <v>13.84</v>
      </c>
      <c r="G236" s="8" t="s">
        <v>36</v>
      </c>
      <c r="H236" s="8" t="s">
        <v>41</v>
      </c>
      <c r="I236" s="8">
        <v>1001.0</v>
      </c>
    </row>
    <row r="237">
      <c r="A237" s="8">
        <v>235.0</v>
      </c>
      <c r="B237" s="8" t="s">
        <v>34</v>
      </c>
      <c r="C237" s="8" t="s">
        <v>27</v>
      </c>
      <c r="D237" s="8" t="s">
        <v>28</v>
      </c>
      <c r="E237" s="12">
        <v>45695.0</v>
      </c>
      <c r="F237" s="8">
        <v>30.55</v>
      </c>
      <c r="G237" s="8" t="s">
        <v>36</v>
      </c>
      <c r="H237" s="8" t="s">
        <v>41</v>
      </c>
      <c r="I237" s="8">
        <v>1018.0</v>
      </c>
    </row>
    <row r="238">
      <c r="A238" s="8">
        <v>236.0</v>
      </c>
      <c r="B238" s="8" t="s">
        <v>26</v>
      </c>
      <c r="C238" s="8" t="s">
        <v>42</v>
      </c>
      <c r="D238" s="8" t="s">
        <v>43</v>
      </c>
      <c r="E238" s="12">
        <v>45666.0</v>
      </c>
      <c r="F238" s="8">
        <v>28.91</v>
      </c>
      <c r="G238" s="8" t="s">
        <v>40</v>
      </c>
      <c r="H238" s="8" t="s">
        <v>30</v>
      </c>
      <c r="I238" s="8">
        <v>1080.0</v>
      </c>
    </row>
    <row r="239">
      <c r="A239" s="8">
        <v>237.0</v>
      </c>
      <c r="B239" s="8" t="s">
        <v>31</v>
      </c>
      <c r="C239" s="8" t="s">
        <v>42</v>
      </c>
      <c r="D239" s="8" t="s">
        <v>32</v>
      </c>
      <c r="E239" s="12">
        <v>45721.0</v>
      </c>
      <c r="F239" s="8" t="s">
        <v>39</v>
      </c>
      <c r="H239" s="8" t="s">
        <v>41</v>
      </c>
      <c r="I239" s="8">
        <v>1079.0</v>
      </c>
    </row>
    <row r="240">
      <c r="A240" s="8">
        <v>238.0</v>
      </c>
      <c r="B240" s="8" t="s">
        <v>26</v>
      </c>
      <c r="C240" s="8" t="s">
        <v>42</v>
      </c>
      <c r="D240" s="8" t="s">
        <v>43</v>
      </c>
      <c r="E240" s="12">
        <v>45706.0</v>
      </c>
      <c r="F240" s="8">
        <v>66.85</v>
      </c>
      <c r="G240" s="8" t="s">
        <v>40</v>
      </c>
      <c r="H240" s="8" t="s">
        <v>41</v>
      </c>
      <c r="I240" s="8">
        <v>1041.0</v>
      </c>
    </row>
    <row r="241">
      <c r="A241" s="8">
        <v>239.0</v>
      </c>
      <c r="B241" s="8" t="s">
        <v>31</v>
      </c>
      <c r="C241" s="8" t="s">
        <v>42</v>
      </c>
      <c r="D241" s="8" t="s">
        <v>43</v>
      </c>
      <c r="E241" s="12">
        <v>45735.0</v>
      </c>
      <c r="F241" s="8">
        <v>35.32</v>
      </c>
      <c r="H241" s="8" t="s">
        <v>30</v>
      </c>
      <c r="I241" s="8">
        <v>1100.0</v>
      </c>
    </row>
    <row r="242">
      <c r="A242" s="8">
        <v>240.0</v>
      </c>
      <c r="B242" s="8" t="s">
        <v>26</v>
      </c>
      <c r="C242" s="8" t="s">
        <v>42</v>
      </c>
      <c r="D242" s="8" t="s">
        <v>43</v>
      </c>
      <c r="E242" s="12">
        <v>45689.0</v>
      </c>
      <c r="F242" s="8">
        <v>61.26</v>
      </c>
      <c r="G242" s="8" t="s">
        <v>40</v>
      </c>
      <c r="H242" s="8" t="s">
        <v>30</v>
      </c>
      <c r="I242" s="8">
        <v>1098.0</v>
      </c>
    </row>
    <row r="243">
      <c r="A243" s="8">
        <v>241.0</v>
      </c>
      <c r="B243" s="8" t="s">
        <v>44</v>
      </c>
      <c r="C243" s="8" t="s">
        <v>27</v>
      </c>
      <c r="D243" s="8" t="s">
        <v>35</v>
      </c>
      <c r="E243" s="12">
        <v>45728.0</v>
      </c>
      <c r="F243" s="8">
        <v>11.57</v>
      </c>
      <c r="H243" s="8" t="s">
        <v>30</v>
      </c>
      <c r="I243" s="8">
        <v>1063.0</v>
      </c>
    </row>
    <row r="244">
      <c r="A244" s="8">
        <v>242.0</v>
      </c>
      <c r="B244" s="8" t="s">
        <v>31</v>
      </c>
      <c r="C244" s="8" t="s">
        <v>37</v>
      </c>
      <c r="D244" s="8" t="s">
        <v>28</v>
      </c>
      <c r="E244" s="12">
        <v>45675.0</v>
      </c>
      <c r="F244" s="8">
        <v>12.03</v>
      </c>
      <c r="H244" s="8" t="s">
        <v>30</v>
      </c>
      <c r="I244" s="8">
        <v>1051.0</v>
      </c>
    </row>
    <row r="245">
      <c r="A245" s="8">
        <v>243.0</v>
      </c>
      <c r="B245" s="8" t="s">
        <v>44</v>
      </c>
      <c r="C245" s="8" t="s">
        <v>45</v>
      </c>
      <c r="D245" s="8" t="s">
        <v>43</v>
      </c>
      <c r="E245" s="12">
        <v>45726.0</v>
      </c>
      <c r="F245" s="8">
        <v>61.41</v>
      </c>
      <c r="G245" s="8" t="s">
        <v>29</v>
      </c>
      <c r="H245" s="8" t="s">
        <v>33</v>
      </c>
      <c r="I245" s="8">
        <v>1098.0</v>
      </c>
    </row>
    <row r="246">
      <c r="A246" s="8">
        <v>244.0</v>
      </c>
      <c r="B246" s="8" t="s">
        <v>26</v>
      </c>
      <c r="C246" s="8" t="s">
        <v>27</v>
      </c>
      <c r="D246" s="8" t="s">
        <v>32</v>
      </c>
      <c r="E246" s="12">
        <v>45689.0</v>
      </c>
      <c r="F246" s="8">
        <v>66.44</v>
      </c>
      <c r="G246" s="8" t="s">
        <v>36</v>
      </c>
      <c r="H246" s="8" t="s">
        <v>41</v>
      </c>
      <c r="I246" s="8">
        <v>1013.0</v>
      </c>
    </row>
    <row r="247">
      <c r="A247" s="8">
        <v>245.0</v>
      </c>
      <c r="B247" s="8" t="s">
        <v>31</v>
      </c>
      <c r="C247" s="8" t="s">
        <v>27</v>
      </c>
      <c r="D247" s="8" t="s">
        <v>35</v>
      </c>
      <c r="E247" s="12">
        <v>45659.0</v>
      </c>
      <c r="F247" s="8">
        <v>69.56</v>
      </c>
      <c r="G247" s="8" t="s">
        <v>40</v>
      </c>
      <c r="H247" s="8" t="s">
        <v>41</v>
      </c>
      <c r="I247" s="8">
        <v>1003.0</v>
      </c>
    </row>
    <row r="248">
      <c r="A248" s="8">
        <v>246.0</v>
      </c>
      <c r="B248" s="8" t="s">
        <v>44</v>
      </c>
      <c r="C248" s="8" t="s">
        <v>45</v>
      </c>
      <c r="D248" s="8" t="s">
        <v>32</v>
      </c>
      <c r="E248" s="12">
        <v>45719.0</v>
      </c>
      <c r="F248" s="8">
        <v>38.09</v>
      </c>
      <c r="G248" s="8" t="s">
        <v>36</v>
      </c>
      <c r="H248" s="8" t="s">
        <v>41</v>
      </c>
      <c r="I248" s="8">
        <v>1100.0</v>
      </c>
    </row>
    <row r="249">
      <c r="A249" s="8">
        <v>247.0</v>
      </c>
      <c r="B249" s="8" t="s">
        <v>26</v>
      </c>
      <c r="C249" s="8" t="s">
        <v>42</v>
      </c>
      <c r="D249" s="8" t="s">
        <v>32</v>
      </c>
      <c r="E249" s="12">
        <v>45684.0</v>
      </c>
      <c r="F249" s="8">
        <v>35.3</v>
      </c>
      <c r="G249" s="8" t="s">
        <v>36</v>
      </c>
      <c r="H249" s="8" t="s">
        <v>33</v>
      </c>
      <c r="I249" s="8">
        <v>1090.0</v>
      </c>
    </row>
    <row r="250">
      <c r="A250" s="8">
        <v>248.0</v>
      </c>
      <c r="B250" s="8" t="s">
        <v>26</v>
      </c>
      <c r="C250" s="8" t="s">
        <v>45</v>
      </c>
      <c r="D250" s="8" t="s">
        <v>28</v>
      </c>
      <c r="E250" s="12">
        <v>45672.0</v>
      </c>
      <c r="F250" s="8">
        <v>54.02</v>
      </c>
      <c r="G250" s="8" t="s">
        <v>40</v>
      </c>
      <c r="H250" s="8" t="s">
        <v>41</v>
      </c>
      <c r="I250" s="8">
        <v>1071.0</v>
      </c>
    </row>
    <row r="251">
      <c r="A251" s="8">
        <v>249.0</v>
      </c>
      <c r="B251" s="8" t="s">
        <v>31</v>
      </c>
      <c r="C251" s="8" t="s">
        <v>42</v>
      </c>
      <c r="D251" s="8" t="s">
        <v>28</v>
      </c>
      <c r="E251" s="12">
        <v>45712.0</v>
      </c>
      <c r="F251" s="8">
        <v>42.58</v>
      </c>
      <c r="G251" s="8" t="s">
        <v>40</v>
      </c>
      <c r="H251" s="8" t="s">
        <v>41</v>
      </c>
      <c r="I251" s="8">
        <v>1075.0</v>
      </c>
    </row>
    <row r="252">
      <c r="A252" s="8">
        <v>250.0</v>
      </c>
      <c r="B252" s="8" t="s">
        <v>31</v>
      </c>
      <c r="C252" s="8" t="s">
        <v>27</v>
      </c>
      <c r="D252" s="8" t="s">
        <v>43</v>
      </c>
      <c r="E252" s="12">
        <v>45712.0</v>
      </c>
      <c r="F252" s="8">
        <v>10.94</v>
      </c>
      <c r="G252" s="8" t="s">
        <v>29</v>
      </c>
      <c r="H252" s="8" t="s">
        <v>30</v>
      </c>
      <c r="I252" s="8">
        <v>1023.0</v>
      </c>
    </row>
    <row r="253">
      <c r="A253" s="8">
        <v>251.0</v>
      </c>
      <c r="B253" s="8" t="s">
        <v>44</v>
      </c>
      <c r="C253" s="8" t="s">
        <v>45</v>
      </c>
      <c r="D253" s="8" t="s">
        <v>43</v>
      </c>
      <c r="E253" s="12">
        <v>45704.0</v>
      </c>
      <c r="F253" s="8">
        <v>96.76</v>
      </c>
      <c r="G253" s="8" t="s">
        <v>36</v>
      </c>
      <c r="H253" s="8" t="s">
        <v>30</v>
      </c>
      <c r="I253" s="8">
        <v>1049.0</v>
      </c>
    </row>
    <row r="254">
      <c r="A254" s="8">
        <v>252.0</v>
      </c>
      <c r="B254" s="8" t="s">
        <v>34</v>
      </c>
      <c r="C254" s="8" t="s">
        <v>37</v>
      </c>
      <c r="D254" s="8" t="s">
        <v>43</v>
      </c>
      <c r="E254" s="12">
        <v>45736.0</v>
      </c>
      <c r="F254" s="8">
        <v>82.31</v>
      </c>
      <c r="G254" s="8" t="s">
        <v>36</v>
      </c>
      <c r="H254" s="8" t="s">
        <v>30</v>
      </c>
      <c r="I254" s="8">
        <v>1075.0</v>
      </c>
    </row>
    <row r="255">
      <c r="A255" s="8">
        <v>253.0</v>
      </c>
      <c r="B255" s="8" t="s">
        <v>26</v>
      </c>
      <c r="C255" s="8" t="s">
        <v>45</v>
      </c>
      <c r="D255" s="8" t="s">
        <v>28</v>
      </c>
      <c r="E255" s="12">
        <v>45668.0</v>
      </c>
      <c r="F255" s="8">
        <v>70.88</v>
      </c>
      <c r="H255" s="8" t="s">
        <v>41</v>
      </c>
      <c r="I255" s="8">
        <v>1076.0</v>
      </c>
    </row>
    <row r="256">
      <c r="A256" s="8">
        <v>254.0</v>
      </c>
      <c r="B256" s="8" t="s">
        <v>44</v>
      </c>
      <c r="C256" s="8" t="s">
        <v>27</v>
      </c>
      <c r="D256" s="8" t="s">
        <v>35</v>
      </c>
      <c r="E256" s="12">
        <v>45675.0</v>
      </c>
      <c r="F256" s="8">
        <v>66.3</v>
      </c>
      <c r="G256" s="8" t="s">
        <v>40</v>
      </c>
      <c r="H256" s="8" t="s">
        <v>30</v>
      </c>
      <c r="I256" s="8">
        <v>1021.0</v>
      </c>
    </row>
    <row r="257">
      <c r="A257" s="8">
        <v>255.0</v>
      </c>
      <c r="B257" s="8" t="s">
        <v>31</v>
      </c>
      <c r="C257" s="8" t="s">
        <v>37</v>
      </c>
      <c r="D257" s="8" t="s">
        <v>35</v>
      </c>
      <c r="E257" s="12">
        <v>45720.0</v>
      </c>
      <c r="F257" s="8">
        <v>95.42</v>
      </c>
      <c r="H257" s="8" t="s">
        <v>33</v>
      </c>
      <c r="I257" s="8">
        <v>1024.0</v>
      </c>
    </row>
    <row r="258">
      <c r="A258" s="8">
        <v>256.0</v>
      </c>
      <c r="B258" s="8" t="s">
        <v>38</v>
      </c>
      <c r="C258" s="8" t="s">
        <v>42</v>
      </c>
      <c r="D258" s="8" t="s">
        <v>35</v>
      </c>
      <c r="E258" s="12">
        <v>45762.0</v>
      </c>
      <c r="F258" s="8">
        <v>84.79</v>
      </c>
      <c r="H258" s="8" t="s">
        <v>33</v>
      </c>
      <c r="I258" s="8">
        <v>1010.0</v>
      </c>
    </row>
    <row r="259">
      <c r="A259" s="8">
        <v>257.0</v>
      </c>
      <c r="B259" s="8" t="s">
        <v>31</v>
      </c>
      <c r="C259" s="8" t="s">
        <v>37</v>
      </c>
      <c r="D259" s="8" t="s">
        <v>32</v>
      </c>
      <c r="E259" s="12">
        <v>45730.0</v>
      </c>
      <c r="F259" s="8">
        <v>20.98</v>
      </c>
      <c r="H259" s="8" t="s">
        <v>30</v>
      </c>
      <c r="I259" s="8">
        <v>1095.0</v>
      </c>
    </row>
    <row r="260">
      <c r="A260" s="8">
        <v>258.0</v>
      </c>
      <c r="B260" s="8" t="s">
        <v>38</v>
      </c>
      <c r="C260" s="8" t="s">
        <v>45</v>
      </c>
      <c r="D260" s="8" t="s">
        <v>32</v>
      </c>
      <c r="E260" s="12">
        <v>45756.0</v>
      </c>
      <c r="F260" s="8">
        <v>99.13</v>
      </c>
      <c r="G260" s="8" t="s">
        <v>29</v>
      </c>
      <c r="H260" s="8" t="s">
        <v>30</v>
      </c>
      <c r="I260" s="8">
        <v>1056.0</v>
      </c>
    </row>
    <row r="261">
      <c r="A261" s="8">
        <v>259.0</v>
      </c>
      <c r="B261" s="8" t="s">
        <v>44</v>
      </c>
      <c r="C261" s="8" t="s">
        <v>45</v>
      </c>
      <c r="D261" s="8" t="s">
        <v>28</v>
      </c>
      <c r="E261" s="12">
        <v>45727.0</v>
      </c>
      <c r="F261" s="8">
        <v>47.72</v>
      </c>
      <c r="G261" s="8" t="s">
        <v>36</v>
      </c>
      <c r="H261" s="8" t="s">
        <v>33</v>
      </c>
      <c r="I261" s="8">
        <v>1056.0</v>
      </c>
    </row>
    <row r="262">
      <c r="A262" s="8">
        <v>260.0</v>
      </c>
      <c r="B262" s="8" t="s">
        <v>31</v>
      </c>
      <c r="C262" s="8" t="s">
        <v>27</v>
      </c>
      <c r="D262" s="8" t="s">
        <v>43</v>
      </c>
      <c r="E262" s="12">
        <v>45768.0</v>
      </c>
      <c r="F262" s="8">
        <v>45.68</v>
      </c>
      <c r="G262" s="8" t="s">
        <v>40</v>
      </c>
      <c r="H262" s="8" t="s">
        <v>33</v>
      </c>
      <c r="I262" s="8">
        <v>1026.0</v>
      </c>
    </row>
    <row r="263">
      <c r="A263" s="8">
        <v>261.0</v>
      </c>
      <c r="B263" s="8" t="s">
        <v>26</v>
      </c>
      <c r="C263" s="8" t="s">
        <v>37</v>
      </c>
      <c r="D263" s="8" t="s">
        <v>28</v>
      </c>
      <c r="E263" s="12">
        <v>45761.0</v>
      </c>
      <c r="F263" s="8">
        <v>32.49</v>
      </c>
      <c r="G263" s="8" t="s">
        <v>36</v>
      </c>
      <c r="H263" s="8" t="s">
        <v>30</v>
      </c>
      <c r="I263" s="8">
        <v>1086.0</v>
      </c>
    </row>
    <row r="264">
      <c r="A264" s="8">
        <v>262.0</v>
      </c>
      <c r="B264" s="8" t="s">
        <v>44</v>
      </c>
      <c r="C264" s="8" t="s">
        <v>45</v>
      </c>
      <c r="D264" s="8" t="s">
        <v>43</v>
      </c>
      <c r="E264" s="12">
        <v>45762.0</v>
      </c>
      <c r="F264" s="8">
        <v>87.28</v>
      </c>
      <c r="G264" s="8" t="s">
        <v>40</v>
      </c>
      <c r="H264" s="8" t="s">
        <v>33</v>
      </c>
      <c r="I264" s="8">
        <v>1091.0</v>
      </c>
    </row>
    <row r="265">
      <c r="A265" s="8">
        <v>263.0</v>
      </c>
      <c r="B265" s="8" t="s">
        <v>44</v>
      </c>
      <c r="C265" s="8" t="s">
        <v>42</v>
      </c>
      <c r="D265" s="8" t="s">
        <v>28</v>
      </c>
      <c r="E265" s="12">
        <v>45699.0</v>
      </c>
      <c r="F265" s="8">
        <v>44.35</v>
      </c>
      <c r="H265" s="8" t="s">
        <v>33</v>
      </c>
      <c r="I265" s="8">
        <v>1081.0</v>
      </c>
    </row>
    <row r="266">
      <c r="A266" s="8">
        <v>264.0</v>
      </c>
      <c r="B266" s="8" t="s">
        <v>34</v>
      </c>
      <c r="C266" s="8" t="s">
        <v>42</v>
      </c>
      <c r="D266" s="8" t="s">
        <v>43</v>
      </c>
      <c r="E266" s="12">
        <v>45759.0</v>
      </c>
      <c r="F266" s="8">
        <v>48.2</v>
      </c>
      <c r="H266" s="8" t="s">
        <v>41</v>
      </c>
      <c r="I266" s="8">
        <v>1074.0</v>
      </c>
    </row>
    <row r="267">
      <c r="A267" s="8">
        <v>265.0</v>
      </c>
      <c r="B267" s="8" t="s">
        <v>34</v>
      </c>
      <c r="C267" s="8" t="s">
        <v>42</v>
      </c>
      <c r="D267" s="8" t="s">
        <v>43</v>
      </c>
      <c r="E267" s="12">
        <v>45658.0</v>
      </c>
      <c r="F267" s="8">
        <v>42.78</v>
      </c>
      <c r="H267" s="8" t="s">
        <v>33</v>
      </c>
      <c r="I267" s="8">
        <v>1063.0</v>
      </c>
    </row>
    <row r="268">
      <c r="A268" s="8">
        <v>266.0</v>
      </c>
      <c r="B268" s="8" t="s">
        <v>26</v>
      </c>
      <c r="C268" s="8" t="s">
        <v>37</v>
      </c>
      <c r="D268" s="8" t="s">
        <v>28</v>
      </c>
      <c r="E268" s="12">
        <v>45692.0</v>
      </c>
      <c r="F268" s="8">
        <v>37.66</v>
      </c>
      <c r="G268" s="8" t="s">
        <v>29</v>
      </c>
      <c r="H268" s="8" t="s">
        <v>33</v>
      </c>
      <c r="I268" s="8">
        <v>1012.0</v>
      </c>
    </row>
    <row r="269">
      <c r="A269" s="8">
        <v>267.0</v>
      </c>
      <c r="B269" s="8" t="s">
        <v>44</v>
      </c>
      <c r="C269" s="8" t="s">
        <v>45</v>
      </c>
      <c r="D269" s="8" t="s">
        <v>32</v>
      </c>
      <c r="E269" s="12">
        <v>45738.0</v>
      </c>
      <c r="F269" s="8">
        <v>48.37</v>
      </c>
      <c r="H269" s="8" t="s">
        <v>33</v>
      </c>
      <c r="I269" s="8">
        <v>1088.0</v>
      </c>
    </row>
    <row r="270">
      <c r="A270" s="8">
        <v>268.0</v>
      </c>
      <c r="B270" s="8" t="s">
        <v>26</v>
      </c>
      <c r="C270" s="8" t="s">
        <v>27</v>
      </c>
      <c r="D270" s="8" t="s">
        <v>43</v>
      </c>
      <c r="E270" s="12">
        <v>45774.0</v>
      </c>
      <c r="F270" s="8">
        <v>12.83</v>
      </c>
      <c r="G270" s="8" t="s">
        <v>40</v>
      </c>
      <c r="H270" s="8" t="s">
        <v>33</v>
      </c>
      <c r="I270" s="8">
        <v>1050.0</v>
      </c>
    </row>
    <row r="271">
      <c r="A271" s="8">
        <v>269.0</v>
      </c>
      <c r="B271" s="8" t="s">
        <v>31</v>
      </c>
      <c r="C271" s="8" t="s">
        <v>42</v>
      </c>
      <c r="D271" s="8" t="s">
        <v>32</v>
      </c>
      <c r="E271" s="12">
        <v>45738.0</v>
      </c>
      <c r="F271" s="8" t="s">
        <v>39</v>
      </c>
      <c r="H271" s="8" t="s">
        <v>33</v>
      </c>
      <c r="I271" s="8">
        <v>1016.0</v>
      </c>
    </row>
    <row r="272">
      <c r="A272" s="8">
        <v>270.0</v>
      </c>
      <c r="B272" s="8" t="s">
        <v>44</v>
      </c>
      <c r="C272" s="8" t="s">
        <v>45</v>
      </c>
      <c r="D272" s="8" t="s">
        <v>32</v>
      </c>
      <c r="E272" s="12">
        <v>45733.0</v>
      </c>
      <c r="F272" s="8">
        <v>98.87</v>
      </c>
      <c r="H272" s="8" t="s">
        <v>30</v>
      </c>
      <c r="I272" s="8">
        <v>1016.0</v>
      </c>
    </row>
    <row r="273">
      <c r="A273" s="8">
        <v>271.0</v>
      </c>
      <c r="B273" s="8" t="s">
        <v>44</v>
      </c>
      <c r="C273" s="8" t="s">
        <v>45</v>
      </c>
      <c r="D273" s="8" t="s">
        <v>32</v>
      </c>
      <c r="E273" s="12">
        <v>45719.0</v>
      </c>
      <c r="F273" s="8">
        <v>33.43</v>
      </c>
      <c r="H273" s="8" t="s">
        <v>33</v>
      </c>
      <c r="I273" s="8">
        <v>1082.0</v>
      </c>
    </row>
    <row r="274">
      <c r="A274" s="8">
        <v>272.0</v>
      </c>
      <c r="B274" s="8" t="s">
        <v>38</v>
      </c>
      <c r="C274" s="8" t="s">
        <v>45</v>
      </c>
      <c r="D274" s="8" t="s">
        <v>28</v>
      </c>
      <c r="E274" s="12">
        <v>45744.0</v>
      </c>
      <c r="F274" s="8">
        <v>64.67</v>
      </c>
      <c r="G274" s="8" t="s">
        <v>40</v>
      </c>
      <c r="H274" s="8" t="s">
        <v>41</v>
      </c>
      <c r="I274" s="8">
        <v>1078.0</v>
      </c>
    </row>
    <row r="275">
      <c r="A275" s="8">
        <v>273.0</v>
      </c>
      <c r="B275" s="8" t="s">
        <v>31</v>
      </c>
      <c r="C275" s="8" t="s">
        <v>45</v>
      </c>
      <c r="D275" s="8" t="s">
        <v>32</v>
      </c>
      <c r="E275" s="12">
        <v>45745.0</v>
      </c>
      <c r="F275" s="8">
        <v>74.35</v>
      </c>
      <c r="G275" s="8" t="s">
        <v>36</v>
      </c>
      <c r="H275" s="8" t="s">
        <v>41</v>
      </c>
      <c r="I275" s="8">
        <v>1040.0</v>
      </c>
    </row>
    <row r="276">
      <c r="A276" s="8">
        <v>274.0</v>
      </c>
      <c r="B276" s="8" t="s">
        <v>26</v>
      </c>
      <c r="C276" s="8" t="s">
        <v>45</v>
      </c>
      <c r="D276" s="8" t="s">
        <v>28</v>
      </c>
      <c r="E276" s="12">
        <v>45759.0</v>
      </c>
      <c r="F276" s="8">
        <v>62.72</v>
      </c>
      <c r="G276" s="8" t="s">
        <v>29</v>
      </c>
      <c r="H276" s="8" t="s">
        <v>30</v>
      </c>
      <c r="I276" s="8">
        <v>1038.0</v>
      </c>
    </row>
    <row r="277">
      <c r="A277" s="8">
        <v>275.0</v>
      </c>
      <c r="B277" s="8" t="s">
        <v>38</v>
      </c>
      <c r="C277" s="8" t="s">
        <v>27</v>
      </c>
      <c r="D277" s="8" t="s">
        <v>35</v>
      </c>
      <c r="E277" s="12">
        <v>45684.0</v>
      </c>
      <c r="F277" s="8">
        <v>90.3</v>
      </c>
      <c r="G277" s="8" t="s">
        <v>40</v>
      </c>
      <c r="H277" s="8" t="s">
        <v>41</v>
      </c>
      <c r="I277" s="8">
        <v>1049.0</v>
      </c>
    </row>
    <row r="278">
      <c r="A278" s="8">
        <v>276.0</v>
      </c>
      <c r="B278" s="8" t="s">
        <v>38</v>
      </c>
      <c r="C278" s="8" t="s">
        <v>45</v>
      </c>
      <c r="D278" s="8" t="s">
        <v>32</v>
      </c>
      <c r="E278" s="12">
        <v>45672.0</v>
      </c>
      <c r="F278" s="8">
        <v>17.54</v>
      </c>
      <c r="H278" s="8" t="s">
        <v>41</v>
      </c>
      <c r="I278" s="8">
        <v>1069.0</v>
      </c>
    </row>
    <row r="279">
      <c r="A279" s="8">
        <v>277.0</v>
      </c>
      <c r="B279" s="8" t="s">
        <v>44</v>
      </c>
      <c r="C279" s="8" t="s">
        <v>45</v>
      </c>
      <c r="D279" s="8" t="s">
        <v>32</v>
      </c>
      <c r="E279" s="12">
        <v>45745.0</v>
      </c>
      <c r="F279" s="8" t="s">
        <v>39</v>
      </c>
      <c r="G279" s="8" t="s">
        <v>40</v>
      </c>
      <c r="H279" s="8" t="s">
        <v>33</v>
      </c>
      <c r="I279" s="8">
        <v>1007.0</v>
      </c>
    </row>
    <row r="280">
      <c r="A280" s="8">
        <v>278.0</v>
      </c>
      <c r="B280" s="8" t="s">
        <v>26</v>
      </c>
      <c r="C280" s="8" t="s">
        <v>42</v>
      </c>
      <c r="D280" s="8" t="s">
        <v>35</v>
      </c>
      <c r="E280" s="12">
        <v>45759.0</v>
      </c>
      <c r="F280" s="8">
        <v>55.97</v>
      </c>
      <c r="G280" s="8" t="s">
        <v>40</v>
      </c>
      <c r="H280" s="8" t="s">
        <v>41</v>
      </c>
      <c r="I280" s="8">
        <v>1010.0</v>
      </c>
    </row>
    <row r="281">
      <c r="A281" s="8">
        <v>279.0</v>
      </c>
      <c r="B281" s="8" t="s">
        <v>31</v>
      </c>
      <c r="C281" s="8" t="s">
        <v>27</v>
      </c>
      <c r="D281" s="8" t="s">
        <v>43</v>
      </c>
      <c r="E281" s="12">
        <v>45697.0</v>
      </c>
      <c r="F281" s="8">
        <v>84.28</v>
      </c>
      <c r="G281" s="8" t="s">
        <v>29</v>
      </c>
      <c r="H281" s="8" t="s">
        <v>41</v>
      </c>
      <c r="I281" s="8">
        <v>1089.0</v>
      </c>
    </row>
    <row r="282">
      <c r="A282" s="8">
        <v>280.0</v>
      </c>
      <c r="B282" s="8" t="s">
        <v>31</v>
      </c>
      <c r="C282" s="8" t="s">
        <v>45</v>
      </c>
      <c r="D282" s="8" t="s">
        <v>28</v>
      </c>
      <c r="E282" s="12">
        <v>45713.0</v>
      </c>
      <c r="F282" s="8">
        <v>48.07</v>
      </c>
      <c r="G282" s="8" t="s">
        <v>29</v>
      </c>
      <c r="H282" s="8" t="s">
        <v>41</v>
      </c>
      <c r="I282" s="8">
        <v>1085.0</v>
      </c>
    </row>
    <row r="283">
      <c r="A283" s="8">
        <v>281.0</v>
      </c>
      <c r="B283" s="8" t="s">
        <v>31</v>
      </c>
      <c r="C283" s="8" t="s">
        <v>45</v>
      </c>
      <c r="D283" s="8" t="s">
        <v>32</v>
      </c>
      <c r="E283" s="12">
        <v>45752.0</v>
      </c>
      <c r="F283" s="8">
        <v>20.56</v>
      </c>
      <c r="G283" s="8" t="s">
        <v>36</v>
      </c>
      <c r="H283" s="8" t="s">
        <v>30</v>
      </c>
      <c r="I283" s="8">
        <v>1066.0</v>
      </c>
    </row>
    <row r="284">
      <c r="A284" s="8">
        <v>282.0</v>
      </c>
      <c r="B284" s="8" t="s">
        <v>26</v>
      </c>
      <c r="C284" s="8" t="s">
        <v>27</v>
      </c>
      <c r="D284" s="8" t="s">
        <v>43</v>
      </c>
      <c r="E284" s="12">
        <v>45758.0</v>
      </c>
      <c r="F284" s="8">
        <v>30.53</v>
      </c>
      <c r="G284" s="8" t="s">
        <v>29</v>
      </c>
      <c r="H284" s="8" t="s">
        <v>33</v>
      </c>
      <c r="I284" s="8">
        <v>1042.0</v>
      </c>
    </row>
    <row r="285">
      <c r="A285" s="8">
        <v>283.0</v>
      </c>
      <c r="B285" s="8" t="s">
        <v>38</v>
      </c>
      <c r="C285" s="8" t="s">
        <v>45</v>
      </c>
      <c r="D285" s="8" t="s">
        <v>43</v>
      </c>
      <c r="E285" s="12">
        <v>45761.0</v>
      </c>
      <c r="F285" s="8">
        <v>12.32</v>
      </c>
      <c r="H285" s="8" t="s">
        <v>30</v>
      </c>
      <c r="I285" s="8">
        <v>1046.0</v>
      </c>
    </row>
    <row r="286">
      <c r="A286" s="8">
        <v>284.0</v>
      </c>
      <c r="B286" s="8" t="s">
        <v>38</v>
      </c>
      <c r="C286" s="8" t="s">
        <v>27</v>
      </c>
      <c r="D286" s="8" t="s">
        <v>43</v>
      </c>
      <c r="E286" s="12">
        <v>45665.0</v>
      </c>
      <c r="F286" s="8">
        <v>89.96</v>
      </c>
      <c r="G286" s="8" t="s">
        <v>29</v>
      </c>
      <c r="H286" s="8" t="s">
        <v>33</v>
      </c>
      <c r="I286" s="8">
        <v>1094.0</v>
      </c>
    </row>
    <row r="287">
      <c r="B287" s="8" t="s">
        <v>34</v>
      </c>
      <c r="C287" s="8" t="s">
        <v>27</v>
      </c>
      <c r="D287" s="8" t="s">
        <v>32</v>
      </c>
      <c r="E287" s="12">
        <v>45723.0</v>
      </c>
      <c r="F287" s="8">
        <v>19.26</v>
      </c>
      <c r="G287" s="8" t="s">
        <v>29</v>
      </c>
      <c r="H287" s="8" t="s">
        <v>30</v>
      </c>
      <c r="I287" s="8">
        <v>1091.0</v>
      </c>
    </row>
    <row r="288">
      <c r="A288" s="8">
        <v>286.0</v>
      </c>
      <c r="B288" s="8" t="s">
        <v>31</v>
      </c>
      <c r="C288" s="8" t="s">
        <v>37</v>
      </c>
      <c r="D288" s="8" t="s">
        <v>28</v>
      </c>
      <c r="E288" s="12">
        <v>45752.0</v>
      </c>
      <c r="F288" s="8">
        <v>30.77</v>
      </c>
      <c r="G288" s="8" t="s">
        <v>29</v>
      </c>
      <c r="H288" s="8" t="s">
        <v>30</v>
      </c>
      <c r="I288" s="8">
        <v>1047.0</v>
      </c>
    </row>
    <row r="289">
      <c r="A289" s="8">
        <v>287.0</v>
      </c>
      <c r="B289" s="8" t="s">
        <v>34</v>
      </c>
      <c r="C289" s="8" t="s">
        <v>27</v>
      </c>
      <c r="D289" s="8" t="s">
        <v>28</v>
      </c>
      <c r="E289" s="12">
        <v>45673.0</v>
      </c>
      <c r="F289" s="8">
        <v>95.64</v>
      </c>
      <c r="G289" s="8" t="s">
        <v>29</v>
      </c>
      <c r="H289" s="8" t="s">
        <v>41</v>
      </c>
      <c r="I289" s="8">
        <v>1036.0</v>
      </c>
    </row>
    <row r="290">
      <c r="A290" s="8">
        <v>288.0</v>
      </c>
      <c r="B290" s="8" t="s">
        <v>26</v>
      </c>
      <c r="C290" s="8" t="s">
        <v>45</v>
      </c>
      <c r="D290" s="8" t="s">
        <v>35</v>
      </c>
      <c r="E290" s="13">
        <v>45934.0</v>
      </c>
      <c r="F290" s="8">
        <v>58.56</v>
      </c>
      <c r="G290" s="8" t="s">
        <v>36</v>
      </c>
      <c r="H290" s="8" t="s">
        <v>30</v>
      </c>
      <c r="I290" s="8">
        <v>1079.0</v>
      </c>
    </row>
    <row r="291">
      <c r="A291" s="8">
        <v>289.0</v>
      </c>
      <c r="B291" s="8" t="s">
        <v>38</v>
      </c>
      <c r="C291" s="8" t="s">
        <v>42</v>
      </c>
      <c r="D291" s="8" t="s">
        <v>28</v>
      </c>
      <c r="E291" s="12">
        <v>45689.0</v>
      </c>
      <c r="F291" s="8">
        <v>80.62</v>
      </c>
      <c r="G291" s="8" t="s">
        <v>40</v>
      </c>
      <c r="H291" s="8" t="s">
        <v>33</v>
      </c>
      <c r="I291" s="8">
        <v>1052.0</v>
      </c>
    </row>
    <row r="292">
      <c r="A292" s="8">
        <v>290.0</v>
      </c>
      <c r="B292" s="8" t="s">
        <v>26</v>
      </c>
      <c r="C292" s="8" t="s">
        <v>45</v>
      </c>
      <c r="D292" s="8" t="s">
        <v>43</v>
      </c>
      <c r="E292" s="13">
        <v>45748.0</v>
      </c>
      <c r="F292" s="8">
        <v>85.66</v>
      </c>
      <c r="G292" s="8" t="s">
        <v>36</v>
      </c>
      <c r="H292" s="8" t="s">
        <v>33</v>
      </c>
      <c r="I292" s="8">
        <v>1026.0</v>
      </c>
    </row>
    <row r="293">
      <c r="A293" s="8">
        <v>291.0</v>
      </c>
      <c r="B293" s="8" t="s">
        <v>44</v>
      </c>
      <c r="C293" s="8" t="s">
        <v>42</v>
      </c>
      <c r="D293" s="8" t="s">
        <v>32</v>
      </c>
      <c r="E293" s="12">
        <v>45725.0</v>
      </c>
      <c r="F293" s="8">
        <v>31.58</v>
      </c>
      <c r="G293" s="8" t="s">
        <v>29</v>
      </c>
      <c r="H293" s="8" t="s">
        <v>33</v>
      </c>
      <c r="I293" s="8">
        <v>1066.0</v>
      </c>
    </row>
    <row r="294">
      <c r="A294" s="8">
        <v>292.0</v>
      </c>
      <c r="B294" s="8" t="s">
        <v>26</v>
      </c>
      <c r="C294" s="8" t="s">
        <v>42</v>
      </c>
      <c r="D294" s="8" t="s">
        <v>32</v>
      </c>
      <c r="E294" s="12">
        <v>45710.0</v>
      </c>
      <c r="F294" s="8">
        <v>65.54</v>
      </c>
      <c r="H294" s="8" t="s">
        <v>33</v>
      </c>
      <c r="I294" s="8">
        <v>1075.0</v>
      </c>
    </row>
    <row r="295">
      <c r="A295" s="8">
        <v>293.0</v>
      </c>
      <c r="B295" s="8" t="s">
        <v>31</v>
      </c>
      <c r="C295" s="8" t="s">
        <v>27</v>
      </c>
      <c r="D295" s="8" t="s">
        <v>43</v>
      </c>
      <c r="E295" s="12">
        <v>45730.0</v>
      </c>
      <c r="F295" s="8">
        <v>81.08</v>
      </c>
      <c r="G295" s="8" t="s">
        <v>36</v>
      </c>
      <c r="H295" s="8" t="s">
        <v>41</v>
      </c>
      <c r="I295" s="8">
        <v>1057.0</v>
      </c>
    </row>
    <row r="296">
      <c r="A296" s="8">
        <v>294.0</v>
      </c>
      <c r="B296" s="8" t="s">
        <v>31</v>
      </c>
      <c r="C296" s="8" t="s">
        <v>27</v>
      </c>
      <c r="D296" s="8" t="s">
        <v>32</v>
      </c>
      <c r="E296" s="12">
        <v>45692.0</v>
      </c>
      <c r="F296" s="8">
        <v>49.28</v>
      </c>
      <c r="H296" s="8" t="s">
        <v>33</v>
      </c>
      <c r="I296" s="8">
        <v>1068.0</v>
      </c>
    </row>
    <row r="297">
      <c r="A297" s="8">
        <v>295.0</v>
      </c>
      <c r="B297" s="8" t="s">
        <v>31</v>
      </c>
      <c r="C297" s="8" t="s">
        <v>42</v>
      </c>
      <c r="D297" s="8" t="s">
        <v>43</v>
      </c>
      <c r="E297" s="12">
        <v>45703.0</v>
      </c>
      <c r="F297" s="8">
        <v>13.59</v>
      </c>
      <c r="G297" s="8" t="s">
        <v>36</v>
      </c>
      <c r="H297" s="8" t="s">
        <v>30</v>
      </c>
      <c r="I297" s="8">
        <v>1089.0</v>
      </c>
    </row>
    <row r="298">
      <c r="A298" s="8">
        <v>296.0</v>
      </c>
      <c r="B298" s="8" t="s">
        <v>26</v>
      </c>
      <c r="C298" s="8" t="s">
        <v>27</v>
      </c>
      <c r="D298" s="8" t="s">
        <v>32</v>
      </c>
      <c r="E298" s="12">
        <v>45735.0</v>
      </c>
      <c r="F298" s="8">
        <v>42.64</v>
      </c>
      <c r="G298" s="8" t="s">
        <v>29</v>
      </c>
      <c r="H298" s="8" t="s">
        <v>30</v>
      </c>
      <c r="I298" s="8">
        <v>1038.0</v>
      </c>
    </row>
    <row r="299">
      <c r="A299" s="8">
        <v>297.0</v>
      </c>
      <c r="B299" s="8" t="s">
        <v>31</v>
      </c>
      <c r="C299" s="8" t="s">
        <v>45</v>
      </c>
      <c r="D299" s="8" t="s">
        <v>35</v>
      </c>
      <c r="E299" s="12">
        <v>45691.0</v>
      </c>
      <c r="F299" s="8">
        <v>57.26</v>
      </c>
      <c r="G299" s="8" t="s">
        <v>29</v>
      </c>
      <c r="H299" s="8" t="s">
        <v>41</v>
      </c>
      <c r="I299" s="8">
        <v>1013.0</v>
      </c>
    </row>
    <row r="300">
      <c r="A300" s="8">
        <v>298.0</v>
      </c>
      <c r="B300" s="8" t="s">
        <v>34</v>
      </c>
      <c r="C300" s="8" t="s">
        <v>45</v>
      </c>
      <c r="D300" s="8" t="s">
        <v>32</v>
      </c>
      <c r="E300" s="12">
        <v>45760.0</v>
      </c>
      <c r="F300" s="8">
        <v>17.42</v>
      </c>
      <c r="H300" s="8" t="s">
        <v>41</v>
      </c>
      <c r="I300" s="8">
        <v>1087.0</v>
      </c>
    </row>
    <row r="301">
      <c r="A301" s="8">
        <v>299.0</v>
      </c>
      <c r="B301" s="8" t="s">
        <v>34</v>
      </c>
      <c r="C301" s="8" t="s">
        <v>37</v>
      </c>
      <c r="D301" s="8" t="s">
        <v>32</v>
      </c>
      <c r="E301" s="8" t="s">
        <v>50</v>
      </c>
      <c r="F301" s="8">
        <v>90.74</v>
      </c>
      <c r="H301" s="8" t="s">
        <v>33</v>
      </c>
      <c r="I301" s="8">
        <v>1011.0</v>
      </c>
    </row>
    <row r="302">
      <c r="A302" s="8">
        <v>300.0</v>
      </c>
      <c r="B302" s="8" t="s">
        <v>26</v>
      </c>
      <c r="C302" s="8" t="s">
        <v>45</v>
      </c>
      <c r="D302" s="8" t="s">
        <v>32</v>
      </c>
      <c r="E302" s="12">
        <v>45773.0</v>
      </c>
      <c r="F302" s="8">
        <v>92.79</v>
      </c>
      <c r="H302" s="8" t="s">
        <v>30</v>
      </c>
      <c r="I302" s="8">
        <v>1050.0</v>
      </c>
    </row>
    <row r="303">
      <c r="A303" s="8">
        <v>301.0</v>
      </c>
      <c r="B303" s="8" t="s">
        <v>44</v>
      </c>
      <c r="C303" s="8" t="s">
        <v>27</v>
      </c>
      <c r="D303" s="8" t="s">
        <v>43</v>
      </c>
      <c r="E303" s="12">
        <v>45721.0</v>
      </c>
      <c r="F303" s="8">
        <v>31.59</v>
      </c>
      <c r="G303" s="8" t="s">
        <v>40</v>
      </c>
      <c r="H303" s="8" t="s">
        <v>33</v>
      </c>
      <c r="I303" s="8">
        <v>1078.0</v>
      </c>
    </row>
    <row r="304">
      <c r="A304" s="8">
        <v>302.0</v>
      </c>
      <c r="B304" s="8" t="s">
        <v>26</v>
      </c>
      <c r="C304" s="8" t="s">
        <v>42</v>
      </c>
      <c r="D304" s="8" t="s">
        <v>35</v>
      </c>
      <c r="E304" s="12">
        <v>45737.0</v>
      </c>
      <c r="F304" s="8">
        <v>13.33</v>
      </c>
      <c r="H304" s="8" t="s">
        <v>33</v>
      </c>
      <c r="I304" s="8">
        <v>1053.0</v>
      </c>
    </row>
    <row r="305">
      <c r="A305" s="8">
        <v>303.0</v>
      </c>
      <c r="B305" s="8" t="s">
        <v>38</v>
      </c>
      <c r="C305" s="8" t="s">
        <v>27</v>
      </c>
      <c r="D305" s="8" t="s">
        <v>32</v>
      </c>
      <c r="E305" s="12">
        <v>45683.0</v>
      </c>
      <c r="F305" s="8">
        <v>39.12</v>
      </c>
      <c r="H305" s="8" t="s">
        <v>41</v>
      </c>
      <c r="I305" s="8">
        <v>1072.0</v>
      </c>
    </row>
    <row r="306">
      <c r="A306" s="8">
        <v>304.0</v>
      </c>
      <c r="B306" s="8" t="s">
        <v>26</v>
      </c>
      <c r="C306" s="8" t="s">
        <v>27</v>
      </c>
      <c r="D306" s="8" t="s">
        <v>32</v>
      </c>
      <c r="E306" s="12">
        <v>45722.0</v>
      </c>
      <c r="F306" s="8">
        <v>90.1</v>
      </c>
      <c r="G306" s="8" t="s">
        <v>36</v>
      </c>
      <c r="H306" s="8" t="s">
        <v>33</v>
      </c>
      <c r="I306" s="8">
        <v>1060.0</v>
      </c>
    </row>
    <row r="307">
      <c r="A307" s="8">
        <v>305.0</v>
      </c>
      <c r="B307" s="8" t="s">
        <v>38</v>
      </c>
      <c r="C307" s="8" t="s">
        <v>27</v>
      </c>
      <c r="D307" s="8" t="s">
        <v>28</v>
      </c>
      <c r="E307" s="12">
        <v>45725.0</v>
      </c>
      <c r="F307" s="8">
        <v>30.32</v>
      </c>
      <c r="G307" s="8" t="s">
        <v>29</v>
      </c>
      <c r="H307" s="8" t="s">
        <v>33</v>
      </c>
      <c r="I307" s="8">
        <v>1073.0</v>
      </c>
    </row>
    <row r="308">
      <c r="A308" s="8">
        <v>306.0</v>
      </c>
      <c r="B308" s="8" t="s">
        <v>44</v>
      </c>
      <c r="C308" s="8" t="s">
        <v>37</v>
      </c>
      <c r="D308" s="8" t="s">
        <v>28</v>
      </c>
      <c r="E308" s="12">
        <v>45766.0</v>
      </c>
      <c r="F308" s="8">
        <v>81.59</v>
      </c>
      <c r="G308" s="8" t="s">
        <v>36</v>
      </c>
      <c r="H308" s="8" t="s">
        <v>30</v>
      </c>
      <c r="I308" s="8">
        <v>1003.0</v>
      </c>
    </row>
    <row r="309">
      <c r="A309" s="8">
        <v>307.0</v>
      </c>
      <c r="B309" s="8" t="s">
        <v>38</v>
      </c>
      <c r="C309" s="8" t="s">
        <v>27</v>
      </c>
      <c r="D309" s="8" t="s">
        <v>28</v>
      </c>
      <c r="E309" s="12">
        <v>45748.0</v>
      </c>
      <c r="F309" s="8">
        <v>97.19</v>
      </c>
      <c r="G309" s="8" t="s">
        <v>36</v>
      </c>
      <c r="H309" s="8" t="s">
        <v>33</v>
      </c>
      <c r="I309" s="8">
        <v>1062.0</v>
      </c>
    </row>
    <row r="310">
      <c r="A310" s="8">
        <v>308.0</v>
      </c>
      <c r="B310" s="8" t="s">
        <v>31</v>
      </c>
      <c r="C310" s="8" t="s">
        <v>27</v>
      </c>
      <c r="D310" s="8" t="s">
        <v>32</v>
      </c>
      <c r="E310" s="12">
        <v>45662.0</v>
      </c>
      <c r="F310" s="8" t="s">
        <v>39</v>
      </c>
      <c r="G310" s="8" t="s">
        <v>40</v>
      </c>
      <c r="H310" s="8" t="s">
        <v>33</v>
      </c>
      <c r="I310" s="8">
        <v>1043.0</v>
      </c>
    </row>
    <row r="311">
      <c r="A311" s="8">
        <v>309.0</v>
      </c>
      <c r="B311" s="8" t="s">
        <v>26</v>
      </c>
      <c r="C311" s="8" t="s">
        <v>45</v>
      </c>
      <c r="D311" s="8" t="s">
        <v>32</v>
      </c>
      <c r="E311" s="12">
        <v>45749.0</v>
      </c>
      <c r="F311" s="8">
        <v>18.46</v>
      </c>
      <c r="G311" s="8" t="s">
        <v>29</v>
      </c>
      <c r="H311" s="8" t="s">
        <v>30</v>
      </c>
      <c r="I311" s="8">
        <v>1046.0</v>
      </c>
    </row>
    <row r="312">
      <c r="A312" s="8">
        <v>310.0</v>
      </c>
      <c r="B312" s="8" t="s">
        <v>44</v>
      </c>
      <c r="C312" s="8" t="s">
        <v>45</v>
      </c>
      <c r="D312" s="8" t="s">
        <v>43</v>
      </c>
      <c r="E312" s="12">
        <v>45667.0</v>
      </c>
      <c r="F312" s="8">
        <v>19.96</v>
      </c>
      <c r="H312" s="8" t="s">
        <v>30</v>
      </c>
      <c r="I312" s="8">
        <v>1062.0</v>
      </c>
    </row>
    <row r="313">
      <c r="A313" s="8">
        <v>311.0</v>
      </c>
      <c r="B313" s="8" t="s">
        <v>38</v>
      </c>
      <c r="C313" s="8" t="s">
        <v>37</v>
      </c>
      <c r="D313" s="8" t="s">
        <v>28</v>
      </c>
      <c r="E313" s="12">
        <v>45741.0</v>
      </c>
      <c r="F313" s="8">
        <v>40.95</v>
      </c>
      <c r="G313" s="8" t="s">
        <v>36</v>
      </c>
      <c r="H313" s="8" t="s">
        <v>33</v>
      </c>
      <c r="I313" s="8">
        <v>1022.0</v>
      </c>
    </row>
    <row r="314">
      <c r="B314" s="8" t="s">
        <v>38</v>
      </c>
      <c r="C314" s="8" t="s">
        <v>42</v>
      </c>
      <c r="D314" s="8" t="s">
        <v>32</v>
      </c>
      <c r="E314" s="12">
        <v>45751.0</v>
      </c>
      <c r="F314" s="8">
        <v>81.84</v>
      </c>
      <c r="G314" s="8" t="s">
        <v>40</v>
      </c>
      <c r="H314" s="8" t="s">
        <v>30</v>
      </c>
      <c r="I314" s="8">
        <v>1072.0</v>
      </c>
    </row>
    <row r="315">
      <c r="A315" s="8">
        <v>313.0</v>
      </c>
      <c r="B315" s="8" t="s">
        <v>31</v>
      </c>
      <c r="C315" s="8" t="s">
        <v>37</v>
      </c>
      <c r="D315" s="8" t="s">
        <v>32</v>
      </c>
      <c r="E315" s="12">
        <v>45671.0</v>
      </c>
      <c r="F315" s="8">
        <v>20.95</v>
      </c>
      <c r="G315" s="8" t="s">
        <v>29</v>
      </c>
      <c r="H315" s="8" t="s">
        <v>30</v>
      </c>
      <c r="I315" s="8">
        <v>1085.0</v>
      </c>
    </row>
    <row r="316">
      <c r="A316" s="8">
        <v>314.0</v>
      </c>
      <c r="B316" s="8" t="s">
        <v>26</v>
      </c>
      <c r="C316" s="8" t="s">
        <v>42</v>
      </c>
      <c r="D316" s="8" t="s">
        <v>32</v>
      </c>
      <c r="E316" s="12">
        <v>45739.0</v>
      </c>
      <c r="F316" s="8">
        <v>11.44</v>
      </c>
      <c r="G316" s="8" t="s">
        <v>36</v>
      </c>
      <c r="H316" s="8" t="s">
        <v>33</v>
      </c>
      <c r="I316" s="8">
        <v>1092.0</v>
      </c>
    </row>
    <row r="317">
      <c r="A317" s="8">
        <v>315.0</v>
      </c>
      <c r="B317" s="8" t="s">
        <v>44</v>
      </c>
      <c r="C317" s="8" t="s">
        <v>42</v>
      </c>
      <c r="D317" s="8" t="s">
        <v>28</v>
      </c>
      <c r="E317" s="12">
        <v>45658.0</v>
      </c>
      <c r="F317" s="8">
        <v>40.98</v>
      </c>
      <c r="H317" s="8" t="s">
        <v>33</v>
      </c>
      <c r="I317" s="8">
        <v>1061.0</v>
      </c>
    </row>
    <row r="318">
      <c r="A318" s="8">
        <v>316.0</v>
      </c>
      <c r="B318" s="8" t="s">
        <v>31</v>
      </c>
      <c r="C318" s="8" t="s">
        <v>27</v>
      </c>
      <c r="D318" s="8" t="s">
        <v>35</v>
      </c>
      <c r="E318" s="12">
        <v>45758.0</v>
      </c>
      <c r="F318" s="8">
        <v>33.02</v>
      </c>
      <c r="G318" s="8" t="s">
        <v>36</v>
      </c>
      <c r="H318" s="8" t="s">
        <v>41</v>
      </c>
      <c r="I318" s="8">
        <v>1013.0</v>
      </c>
    </row>
    <row r="319">
      <c r="A319" s="8">
        <v>317.0</v>
      </c>
      <c r="B319" s="8" t="s">
        <v>44</v>
      </c>
      <c r="C319" s="8" t="s">
        <v>27</v>
      </c>
      <c r="D319" s="8" t="s">
        <v>32</v>
      </c>
      <c r="E319" s="12">
        <v>45667.0</v>
      </c>
      <c r="F319" s="8">
        <v>13.84</v>
      </c>
      <c r="H319" s="8" t="s">
        <v>30</v>
      </c>
      <c r="I319" s="8">
        <v>1003.0</v>
      </c>
    </row>
    <row r="320">
      <c r="A320" s="8">
        <v>318.0</v>
      </c>
      <c r="B320" s="8" t="s">
        <v>31</v>
      </c>
      <c r="C320" s="8" t="s">
        <v>42</v>
      </c>
      <c r="D320" s="8" t="s">
        <v>28</v>
      </c>
      <c r="E320" s="12">
        <v>45713.0</v>
      </c>
      <c r="F320" s="8">
        <v>97.57</v>
      </c>
      <c r="H320" s="8" t="s">
        <v>30</v>
      </c>
      <c r="I320" s="8">
        <v>1070.0</v>
      </c>
    </row>
    <row r="321">
      <c r="A321" s="8">
        <v>319.0</v>
      </c>
      <c r="B321" s="8" t="s">
        <v>38</v>
      </c>
      <c r="C321" s="8" t="s">
        <v>37</v>
      </c>
      <c r="D321" s="8" t="s">
        <v>43</v>
      </c>
      <c r="E321" s="12">
        <v>45750.0</v>
      </c>
      <c r="F321" s="8">
        <v>42.33</v>
      </c>
      <c r="H321" s="8" t="s">
        <v>33</v>
      </c>
      <c r="I321" s="8">
        <v>1006.0</v>
      </c>
    </row>
    <row r="322">
      <c r="B322" s="8" t="s">
        <v>34</v>
      </c>
      <c r="C322" s="8" t="s">
        <v>37</v>
      </c>
      <c r="D322" s="8" t="s">
        <v>35</v>
      </c>
      <c r="E322" s="12">
        <v>45704.0</v>
      </c>
      <c r="F322" s="8" t="s">
        <v>39</v>
      </c>
      <c r="G322" s="8" t="s">
        <v>40</v>
      </c>
      <c r="H322" s="8" t="s">
        <v>30</v>
      </c>
      <c r="I322" s="8">
        <v>1037.0</v>
      </c>
    </row>
    <row r="323">
      <c r="A323" s="8">
        <v>321.0</v>
      </c>
      <c r="B323" s="8" t="s">
        <v>34</v>
      </c>
      <c r="C323" s="8" t="s">
        <v>37</v>
      </c>
      <c r="D323" s="8" t="s">
        <v>35</v>
      </c>
      <c r="E323" s="12">
        <v>45668.0</v>
      </c>
      <c r="F323" s="8">
        <v>30.18</v>
      </c>
      <c r="H323" s="8" t="s">
        <v>33</v>
      </c>
      <c r="I323" s="8">
        <v>1047.0</v>
      </c>
    </row>
    <row r="324">
      <c r="A324" s="8">
        <v>322.0</v>
      </c>
      <c r="B324" s="8" t="s">
        <v>31</v>
      </c>
      <c r="C324" s="8" t="s">
        <v>42</v>
      </c>
      <c r="D324" s="8" t="s">
        <v>32</v>
      </c>
      <c r="E324" s="12">
        <v>45771.0</v>
      </c>
      <c r="F324" s="8">
        <v>26.49</v>
      </c>
      <c r="G324" s="8" t="s">
        <v>36</v>
      </c>
      <c r="H324" s="8" t="s">
        <v>30</v>
      </c>
      <c r="I324" s="8">
        <v>1007.0</v>
      </c>
    </row>
    <row r="325">
      <c r="A325" s="8">
        <v>323.0</v>
      </c>
      <c r="B325" s="8" t="s">
        <v>34</v>
      </c>
      <c r="C325" s="8" t="s">
        <v>45</v>
      </c>
      <c r="D325" s="8" t="s">
        <v>43</v>
      </c>
      <c r="E325" s="12">
        <v>45677.0</v>
      </c>
      <c r="F325" s="8">
        <v>76.86</v>
      </c>
      <c r="G325" s="8" t="s">
        <v>40</v>
      </c>
      <c r="H325" s="8" t="s">
        <v>30</v>
      </c>
      <c r="I325" s="8">
        <v>1007.0</v>
      </c>
    </row>
    <row r="326">
      <c r="A326" s="8">
        <v>324.0</v>
      </c>
      <c r="B326" s="8" t="s">
        <v>38</v>
      </c>
      <c r="C326" s="8" t="s">
        <v>42</v>
      </c>
      <c r="D326" s="8" t="s">
        <v>35</v>
      </c>
      <c r="E326" s="12">
        <v>45765.0</v>
      </c>
      <c r="F326" s="8">
        <v>33.39</v>
      </c>
      <c r="H326" s="8" t="s">
        <v>30</v>
      </c>
      <c r="I326" s="8">
        <v>1004.0</v>
      </c>
    </row>
    <row r="327">
      <c r="A327" s="8">
        <v>325.0</v>
      </c>
      <c r="B327" s="8" t="s">
        <v>38</v>
      </c>
      <c r="C327" s="8" t="s">
        <v>27</v>
      </c>
      <c r="D327" s="8" t="s">
        <v>32</v>
      </c>
      <c r="E327" s="12">
        <v>45722.0</v>
      </c>
      <c r="F327" s="8">
        <v>95.16</v>
      </c>
      <c r="G327" s="8" t="s">
        <v>40</v>
      </c>
      <c r="H327" s="8" t="s">
        <v>33</v>
      </c>
      <c r="I327" s="8">
        <v>1024.0</v>
      </c>
    </row>
    <row r="328">
      <c r="A328" s="8">
        <v>326.0</v>
      </c>
      <c r="B328" s="8" t="s">
        <v>34</v>
      </c>
      <c r="C328" s="8" t="s">
        <v>42</v>
      </c>
      <c r="D328" s="8" t="s">
        <v>28</v>
      </c>
      <c r="E328" s="12">
        <v>45674.0</v>
      </c>
      <c r="F328" s="8">
        <v>84.24</v>
      </c>
      <c r="G328" s="8" t="s">
        <v>36</v>
      </c>
      <c r="H328" s="8" t="s">
        <v>41</v>
      </c>
      <c r="I328" s="8">
        <v>1093.0</v>
      </c>
    </row>
    <row r="329">
      <c r="A329" s="8">
        <v>327.0</v>
      </c>
      <c r="B329" s="8" t="s">
        <v>34</v>
      </c>
      <c r="C329" s="8" t="s">
        <v>42</v>
      </c>
      <c r="D329" s="8" t="s">
        <v>35</v>
      </c>
      <c r="E329" s="12">
        <v>45775.0</v>
      </c>
      <c r="F329" s="8">
        <v>54.37</v>
      </c>
      <c r="G329" s="8" t="s">
        <v>29</v>
      </c>
      <c r="H329" s="8" t="s">
        <v>30</v>
      </c>
      <c r="I329" s="8">
        <v>1079.0</v>
      </c>
    </row>
    <row r="330">
      <c r="A330" s="8">
        <v>328.0</v>
      </c>
      <c r="B330" s="8" t="s">
        <v>44</v>
      </c>
      <c r="C330" s="8" t="s">
        <v>45</v>
      </c>
      <c r="D330" s="8" t="s">
        <v>35</v>
      </c>
      <c r="E330" s="12">
        <v>45733.0</v>
      </c>
      <c r="F330" s="8">
        <v>60.35</v>
      </c>
      <c r="G330" s="8" t="s">
        <v>29</v>
      </c>
      <c r="H330" s="8" t="s">
        <v>33</v>
      </c>
      <c r="I330" s="8">
        <v>1072.0</v>
      </c>
    </row>
    <row r="331">
      <c r="A331" s="8">
        <v>329.0</v>
      </c>
      <c r="B331" s="8" t="s">
        <v>26</v>
      </c>
      <c r="C331" s="8" t="s">
        <v>37</v>
      </c>
      <c r="D331" s="8" t="s">
        <v>35</v>
      </c>
      <c r="E331" s="12">
        <v>45757.0</v>
      </c>
      <c r="F331" s="8">
        <v>59.34</v>
      </c>
      <c r="H331" s="8" t="s">
        <v>33</v>
      </c>
      <c r="I331" s="8">
        <v>1022.0</v>
      </c>
    </row>
    <row r="332">
      <c r="A332" s="8">
        <v>330.0</v>
      </c>
      <c r="B332" s="8" t="s">
        <v>38</v>
      </c>
      <c r="C332" s="8" t="s">
        <v>42</v>
      </c>
      <c r="D332" s="8" t="s">
        <v>32</v>
      </c>
      <c r="E332" s="12">
        <v>45693.0</v>
      </c>
      <c r="F332" s="8">
        <v>70.6</v>
      </c>
      <c r="G332" s="8" t="s">
        <v>29</v>
      </c>
      <c r="H332" s="8" t="s">
        <v>30</v>
      </c>
      <c r="I332" s="8">
        <v>1060.0</v>
      </c>
    </row>
    <row r="333">
      <c r="A333" s="8">
        <v>331.0</v>
      </c>
      <c r="B333" s="8" t="s">
        <v>26</v>
      </c>
      <c r="C333" s="8" t="s">
        <v>45</v>
      </c>
      <c r="D333" s="8" t="s">
        <v>43</v>
      </c>
      <c r="E333" s="12">
        <v>45775.0</v>
      </c>
      <c r="F333" s="8">
        <v>31.63</v>
      </c>
      <c r="H333" s="8" t="s">
        <v>30</v>
      </c>
      <c r="I333" s="8">
        <v>1087.0</v>
      </c>
    </row>
    <row r="334">
      <c r="A334" s="8">
        <v>332.0</v>
      </c>
      <c r="B334" s="8" t="s">
        <v>31</v>
      </c>
      <c r="C334" s="8" t="s">
        <v>27</v>
      </c>
      <c r="D334" s="8" t="s">
        <v>43</v>
      </c>
      <c r="E334" s="12">
        <v>45670.0</v>
      </c>
      <c r="F334" s="8">
        <v>83.45</v>
      </c>
      <c r="G334" s="8" t="s">
        <v>36</v>
      </c>
      <c r="H334" s="8" t="s">
        <v>30</v>
      </c>
      <c r="I334" s="8">
        <v>1053.0</v>
      </c>
    </row>
    <row r="335">
      <c r="A335" s="8">
        <v>333.0</v>
      </c>
      <c r="B335" s="8" t="s">
        <v>31</v>
      </c>
      <c r="C335" s="8" t="s">
        <v>42</v>
      </c>
      <c r="D335" s="8" t="s">
        <v>28</v>
      </c>
      <c r="E335" s="12">
        <v>45735.0</v>
      </c>
      <c r="F335" s="8">
        <v>51.02</v>
      </c>
      <c r="G335" s="8" t="s">
        <v>36</v>
      </c>
      <c r="H335" s="8" t="s">
        <v>33</v>
      </c>
      <c r="I335" s="8">
        <v>1065.0</v>
      </c>
    </row>
    <row r="336">
      <c r="A336" s="8">
        <v>334.0</v>
      </c>
      <c r="B336" s="8" t="s">
        <v>26</v>
      </c>
      <c r="C336" s="8" t="s">
        <v>42</v>
      </c>
      <c r="D336" s="8" t="s">
        <v>28</v>
      </c>
      <c r="E336" s="12">
        <v>45759.0</v>
      </c>
      <c r="F336" s="8">
        <v>59.02</v>
      </c>
      <c r="G336" s="8" t="s">
        <v>40</v>
      </c>
      <c r="H336" s="8" t="s">
        <v>33</v>
      </c>
      <c r="I336" s="8">
        <v>1025.0</v>
      </c>
    </row>
    <row r="337">
      <c r="A337" s="8">
        <v>335.0</v>
      </c>
      <c r="B337" s="8" t="s">
        <v>34</v>
      </c>
      <c r="C337" s="8" t="s">
        <v>42</v>
      </c>
      <c r="D337" s="8" t="s">
        <v>32</v>
      </c>
      <c r="E337" s="12">
        <v>45765.0</v>
      </c>
      <c r="F337" s="8">
        <v>31.03</v>
      </c>
      <c r="H337" s="8" t="s">
        <v>30</v>
      </c>
      <c r="I337" s="8">
        <v>1050.0</v>
      </c>
    </row>
    <row r="338">
      <c r="A338" s="8">
        <v>336.0</v>
      </c>
      <c r="B338" s="8" t="s">
        <v>34</v>
      </c>
      <c r="C338" s="8" t="s">
        <v>27</v>
      </c>
      <c r="D338" s="8" t="s">
        <v>43</v>
      </c>
      <c r="E338" s="12">
        <v>45739.0</v>
      </c>
      <c r="F338" s="8">
        <v>96.25</v>
      </c>
      <c r="H338" s="8" t="s">
        <v>30</v>
      </c>
      <c r="I338" s="8">
        <v>1070.0</v>
      </c>
    </row>
    <row r="339">
      <c r="A339" s="8">
        <v>337.0</v>
      </c>
      <c r="B339" s="8" t="s">
        <v>26</v>
      </c>
      <c r="C339" s="8" t="s">
        <v>45</v>
      </c>
      <c r="D339" s="8" t="s">
        <v>43</v>
      </c>
      <c r="E339" s="8" t="s">
        <v>51</v>
      </c>
      <c r="F339" s="8" t="s">
        <v>39</v>
      </c>
      <c r="G339" s="8" t="s">
        <v>40</v>
      </c>
      <c r="H339" s="8" t="s">
        <v>33</v>
      </c>
      <c r="I339" s="8">
        <v>1082.0</v>
      </c>
    </row>
    <row r="340">
      <c r="A340" s="8">
        <v>338.0</v>
      </c>
      <c r="B340" s="8" t="s">
        <v>26</v>
      </c>
      <c r="C340" s="8" t="s">
        <v>42</v>
      </c>
      <c r="D340" s="8" t="s">
        <v>32</v>
      </c>
      <c r="E340" s="12">
        <v>45686.0</v>
      </c>
      <c r="F340" s="8">
        <v>69.81</v>
      </c>
      <c r="H340" s="8" t="s">
        <v>33</v>
      </c>
      <c r="I340" s="8">
        <v>1082.0</v>
      </c>
    </row>
    <row r="341">
      <c r="A341" s="8">
        <v>339.0</v>
      </c>
      <c r="B341" s="8" t="s">
        <v>34</v>
      </c>
      <c r="C341" s="8" t="s">
        <v>27</v>
      </c>
      <c r="D341" s="8" t="s">
        <v>43</v>
      </c>
      <c r="E341" s="12">
        <v>45680.0</v>
      </c>
      <c r="F341" s="8">
        <v>72.71</v>
      </c>
      <c r="G341" s="8" t="s">
        <v>36</v>
      </c>
      <c r="H341" s="8" t="s">
        <v>41</v>
      </c>
      <c r="I341" s="8">
        <v>1048.0</v>
      </c>
    </row>
    <row r="342">
      <c r="A342" s="8">
        <v>340.0</v>
      </c>
      <c r="B342" s="8" t="s">
        <v>26</v>
      </c>
      <c r="C342" s="8" t="s">
        <v>27</v>
      </c>
      <c r="D342" s="8" t="s">
        <v>35</v>
      </c>
      <c r="E342" s="12">
        <v>45767.0</v>
      </c>
      <c r="F342" s="8">
        <v>64.24</v>
      </c>
      <c r="G342" s="8" t="s">
        <v>29</v>
      </c>
      <c r="H342" s="8" t="s">
        <v>33</v>
      </c>
      <c r="I342" s="8">
        <v>1065.0</v>
      </c>
    </row>
    <row r="343">
      <c r="A343" s="8">
        <v>341.0</v>
      </c>
      <c r="B343" s="8" t="s">
        <v>26</v>
      </c>
      <c r="C343" s="8" t="s">
        <v>37</v>
      </c>
      <c r="D343" s="8" t="s">
        <v>43</v>
      </c>
      <c r="E343" s="12">
        <v>45742.0</v>
      </c>
      <c r="F343" s="8">
        <v>36.95</v>
      </c>
      <c r="G343" s="8" t="s">
        <v>36</v>
      </c>
      <c r="H343" s="8" t="s">
        <v>30</v>
      </c>
      <c r="I343" s="8">
        <v>1041.0</v>
      </c>
    </row>
    <row r="344">
      <c r="A344" s="8">
        <v>342.0</v>
      </c>
      <c r="B344" s="8" t="s">
        <v>26</v>
      </c>
      <c r="C344" s="8" t="s">
        <v>27</v>
      </c>
      <c r="D344" s="8" t="s">
        <v>28</v>
      </c>
      <c r="E344" s="12">
        <v>45768.0</v>
      </c>
      <c r="F344" s="8">
        <v>10.39</v>
      </c>
      <c r="H344" s="8" t="s">
        <v>30</v>
      </c>
      <c r="I344" s="8">
        <v>1040.0</v>
      </c>
    </row>
    <row r="345">
      <c r="A345" s="8">
        <v>343.0</v>
      </c>
      <c r="B345" s="8" t="s">
        <v>34</v>
      </c>
      <c r="C345" s="8" t="s">
        <v>42</v>
      </c>
      <c r="D345" s="8" t="s">
        <v>43</v>
      </c>
      <c r="E345" s="12">
        <v>45745.0</v>
      </c>
      <c r="F345" s="8">
        <v>41.89</v>
      </c>
      <c r="G345" s="8" t="s">
        <v>29</v>
      </c>
      <c r="H345" s="8" t="s">
        <v>30</v>
      </c>
      <c r="I345" s="8">
        <v>1090.0</v>
      </c>
    </row>
    <row r="346">
      <c r="A346" s="8">
        <v>344.0</v>
      </c>
      <c r="B346" s="8" t="s">
        <v>26</v>
      </c>
      <c r="C346" s="8" t="s">
        <v>27</v>
      </c>
      <c r="D346" s="8" t="s">
        <v>35</v>
      </c>
      <c r="E346" s="12">
        <v>45731.0</v>
      </c>
      <c r="F346" s="8">
        <v>53.19</v>
      </c>
      <c r="G346" s="8" t="s">
        <v>40</v>
      </c>
      <c r="H346" s="8" t="s">
        <v>30</v>
      </c>
      <c r="I346" s="8">
        <v>1071.0</v>
      </c>
    </row>
    <row r="347">
      <c r="A347" s="8">
        <v>345.0</v>
      </c>
      <c r="B347" s="8" t="s">
        <v>44</v>
      </c>
      <c r="C347" s="8" t="s">
        <v>27</v>
      </c>
      <c r="D347" s="8" t="s">
        <v>43</v>
      </c>
      <c r="E347" s="12">
        <v>45681.0</v>
      </c>
      <c r="F347" s="8">
        <v>91.7</v>
      </c>
      <c r="G347" s="8" t="s">
        <v>36</v>
      </c>
      <c r="H347" s="8" t="s">
        <v>30</v>
      </c>
      <c r="I347" s="8">
        <v>1011.0</v>
      </c>
    </row>
    <row r="348">
      <c r="A348" s="8">
        <v>346.0</v>
      </c>
      <c r="B348" s="8" t="s">
        <v>26</v>
      </c>
      <c r="C348" s="8" t="s">
        <v>42</v>
      </c>
      <c r="D348" s="8" t="s">
        <v>43</v>
      </c>
      <c r="E348" s="12">
        <v>45686.0</v>
      </c>
      <c r="F348" s="8">
        <v>49.06</v>
      </c>
      <c r="G348" s="8" t="s">
        <v>29</v>
      </c>
      <c r="H348" s="8" t="s">
        <v>41</v>
      </c>
      <c r="I348" s="8">
        <v>1006.0</v>
      </c>
    </row>
    <row r="349">
      <c r="A349" s="8">
        <v>347.0</v>
      </c>
      <c r="B349" s="8" t="s">
        <v>38</v>
      </c>
      <c r="C349" s="8" t="s">
        <v>45</v>
      </c>
      <c r="D349" s="8" t="s">
        <v>35</v>
      </c>
      <c r="E349" s="12">
        <v>45768.0</v>
      </c>
      <c r="F349" s="8">
        <v>87.41</v>
      </c>
      <c r="H349" s="8" t="s">
        <v>30</v>
      </c>
      <c r="I349" s="8">
        <v>1038.0</v>
      </c>
    </row>
    <row r="350">
      <c r="A350" s="8">
        <v>348.0</v>
      </c>
      <c r="B350" s="8" t="s">
        <v>31</v>
      </c>
      <c r="C350" s="8" t="s">
        <v>27</v>
      </c>
      <c r="D350" s="8" t="s">
        <v>28</v>
      </c>
      <c r="E350" s="12">
        <v>45710.0</v>
      </c>
      <c r="F350" s="8">
        <v>89.82</v>
      </c>
      <c r="H350" s="8" t="s">
        <v>33</v>
      </c>
      <c r="I350" s="8">
        <v>1040.0</v>
      </c>
    </row>
    <row r="351">
      <c r="A351" s="8">
        <v>349.0</v>
      </c>
      <c r="B351" s="8" t="s">
        <v>34</v>
      </c>
      <c r="C351" s="8" t="s">
        <v>42</v>
      </c>
      <c r="D351" s="8" t="s">
        <v>43</v>
      </c>
      <c r="E351" s="12">
        <v>45768.0</v>
      </c>
      <c r="F351" s="8">
        <v>65.28</v>
      </c>
      <c r="G351" s="8" t="s">
        <v>29</v>
      </c>
      <c r="H351" s="8" t="s">
        <v>41</v>
      </c>
      <c r="I351" s="8">
        <v>1035.0</v>
      </c>
    </row>
    <row r="352">
      <c r="A352" s="8">
        <v>350.0</v>
      </c>
      <c r="B352" s="8" t="s">
        <v>31</v>
      </c>
      <c r="C352" s="8" t="s">
        <v>27</v>
      </c>
      <c r="D352" s="8" t="s">
        <v>35</v>
      </c>
      <c r="E352" s="12">
        <v>45684.0</v>
      </c>
      <c r="F352" s="8">
        <v>17.29</v>
      </c>
      <c r="H352" s="8" t="s">
        <v>30</v>
      </c>
      <c r="I352" s="8">
        <v>1054.0</v>
      </c>
    </row>
    <row r="353">
      <c r="A353" s="8">
        <v>351.0</v>
      </c>
      <c r="B353" s="8" t="s">
        <v>44</v>
      </c>
      <c r="C353" s="8" t="s">
        <v>42</v>
      </c>
      <c r="D353" s="8" t="s">
        <v>32</v>
      </c>
      <c r="E353" s="12">
        <v>45709.0</v>
      </c>
      <c r="F353" s="8">
        <v>40.44</v>
      </c>
      <c r="G353" s="8" t="s">
        <v>29</v>
      </c>
      <c r="H353" s="8" t="s">
        <v>41</v>
      </c>
      <c r="I353" s="8">
        <v>1096.0</v>
      </c>
    </row>
    <row r="354">
      <c r="A354" s="8">
        <v>352.0</v>
      </c>
      <c r="B354" s="8" t="s">
        <v>34</v>
      </c>
      <c r="C354" s="8" t="s">
        <v>45</v>
      </c>
      <c r="D354" s="8" t="s">
        <v>28</v>
      </c>
      <c r="E354" s="12">
        <v>45764.0</v>
      </c>
      <c r="F354" s="8">
        <v>34.65</v>
      </c>
      <c r="G354" s="8" t="s">
        <v>29</v>
      </c>
      <c r="H354" s="8" t="s">
        <v>41</v>
      </c>
      <c r="I354" s="8">
        <v>1064.0</v>
      </c>
    </row>
    <row r="355">
      <c r="A355" s="8">
        <v>353.0</v>
      </c>
      <c r="B355" s="8" t="s">
        <v>34</v>
      </c>
      <c r="C355" s="8" t="s">
        <v>45</v>
      </c>
      <c r="D355" s="8" t="s">
        <v>43</v>
      </c>
      <c r="E355" s="12">
        <v>45733.0</v>
      </c>
      <c r="F355" s="8">
        <v>54.43</v>
      </c>
      <c r="G355" s="8" t="s">
        <v>36</v>
      </c>
      <c r="H355" s="8" t="s">
        <v>41</v>
      </c>
      <c r="I355" s="8">
        <v>1087.0</v>
      </c>
    </row>
    <row r="356">
      <c r="A356" s="8">
        <v>354.0</v>
      </c>
      <c r="B356" s="8" t="s">
        <v>44</v>
      </c>
      <c r="C356" s="8" t="s">
        <v>37</v>
      </c>
      <c r="D356" s="8" t="s">
        <v>28</v>
      </c>
      <c r="E356" s="12">
        <v>45675.0</v>
      </c>
      <c r="F356" s="8">
        <v>82.14</v>
      </c>
      <c r="G356" s="8" t="s">
        <v>29</v>
      </c>
      <c r="H356" s="8" t="s">
        <v>33</v>
      </c>
      <c r="I356" s="8">
        <v>1028.0</v>
      </c>
    </row>
    <row r="357">
      <c r="A357" s="8">
        <v>355.0</v>
      </c>
      <c r="B357" s="8" t="s">
        <v>31</v>
      </c>
      <c r="C357" s="8" t="s">
        <v>45</v>
      </c>
      <c r="D357" s="8" t="s">
        <v>28</v>
      </c>
      <c r="E357" s="12">
        <v>45751.0</v>
      </c>
      <c r="F357" s="8">
        <v>80.25</v>
      </c>
      <c r="H357" s="8" t="s">
        <v>30</v>
      </c>
      <c r="I357" s="8">
        <v>1032.0</v>
      </c>
    </row>
    <row r="358">
      <c r="A358" s="8">
        <v>356.0</v>
      </c>
      <c r="B358" s="8" t="s">
        <v>34</v>
      </c>
      <c r="C358" s="8" t="s">
        <v>45</v>
      </c>
      <c r="D358" s="8" t="s">
        <v>32</v>
      </c>
      <c r="E358" s="12">
        <v>45756.0</v>
      </c>
      <c r="F358" s="8" t="s">
        <v>39</v>
      </c>
      <c r="G358" s="8" t="s">
        <v>29</v>
      </c>
      <c r="H358" s="8" t="s">
        <v>41</v>
      </c>
      <c r="I358" s="8">
        <v>1056.0</v>
      </c>
    </row>
    <row r="359">
      <c r="A359" s="8">
        <v>357.0</v>
      </c>
      <c r="B359" s="8" t="s">
        <v>26</v>
      </c>
      <c r="C359" s="8" t="s">
        <v>42</v>
      </c>
      <c r="D359" s="8" t="s">
        <v>28</v>
      </c>
      <c r="E359" s="12">
        <v>45706.0</v>
      </c>
      <c r="F359" s="8">
        <v>5.88</v>
      </c>
      <c r="H359" s="8" t="s">
        <v>30</v>
      </c>
      <c r="I359" s="8">
        <v>1012.0</v>
      </c>
    </row>
    <row r="360">
      <c r="A360" s="8">
        <v>358.0</v>
      </c>
      <c r="B360" s="8" t="s">
        <v>38</v>
      </c>
      <c r="C360" s="8" t="s">
        <v>27</v>
      </c>
      <c r="D360" s="8" t="s">
        <v>35</v>
      </c>
      <c r="E360" s="12">
        <v>45742.0</v>
      </c>
      <c r="F360" s="8">
        <v>73.28</v>
      </c>
      <c r="G360" s="8" t="s">
        <v>29</v>
      </c>
      <c r="H360" s="8" t="s">
        <v>41</v>
      </c>
      <c r="I360" s="8">
        <v>1014.0</v>
      </c>
    </row>
    <row r="361">
      <c r="A361" s="8">
        <v>359.0</v>
      </c>
      <c r="B361" s="8" t="s">
        <v>31</v>
      </c>
      <c r="C361" s="8" t="s">
        <v>27</v>
      </c>
      <c r="D361" s="8" t="s">
        <v>43</v>
      </c>
      <c r="E361" s="12">
        <v>45758.0</v>
      </c>
      <c r="F361" s="8">
        <v>39.0</v>
      </c>
      <c r="H361" s="8" t="s">
        <v>41</v>
      </c>
      <c r="I361" s="8">
        <v>1020.0</v>
      </c>
    </row>
    <row r="362">
      <c r="A362" s="8">
        <v>360.0</v>
      </c>
      <c r="B362" s="8" t="s">
        <v>31</v>
      </c>
      <c r="C362" s="8" t="s">
        <v>42</v>
      </c>
      <c r="D362" s="8" t="s">
        <v>43</v>
      </c>
      <c r="E362" s="12">
        <v>45663.0</v>
      </c>
      <c r="F362" s="8" t="s">
        <v>39</v>
      </c>
      <c r="G362" s="8" t="s">
        <v>29</v>
      </c>
      <c r="H362" s="8" t="s">
        <v>33</v>
      </c>
      <c r="I362" s="8">
        <v>1073.0</v>
      </c>
    </row>
    <row r="363">
      <c r="A363" s="8">
        <v>361.0</v>
      </c>
      <c r="B363" s="8" t="s">
        <v>34</v>
      </c>
      <c r="C363" s="8" t="s">
        <v>45</v>
      </c>
      <c r="D363" s="8" t="s">
        <v>32</v>
      </c>
      <c r="E363" s="12">
        <v>45743.0</v>
      </c>
      <c r="F363" s="8">
        <v>48.39</v>
      </c>
      <c r="G363" s="8" t="s">
        <v>36</v>
      </c>
      <c r="H363" s="8" t="s">
        <v>41</v>
      </c>
      <c r="I363" s="8">
        <v>1059.0</v>
      </c>
    </row>
    <row r="364">
      <c r="A364" s="8">
        <v>362.0</v>
      </c>
      <c r="B364" s="8" t="s">
        <v>31</v>
      </c>
      <c r="C364" s="8" t="s">
        <v>45</v>
      </c>
      <c r="D364" s="8" t="s">
        <v>43</v>
      </c>
      <c r="E364" s="12">
        <v>45664.0</v>
      </c>
      <c r="F364" s="8">
        <v>45.47</v>
      </c>
      <c r="G364" s="8" t="s">
        <v>29</v>
      </c>
      <c r="H364" s="8" t="s">
        <v>33</v>
      </c>
      <c r="I364" s="8">
        <v>1097.0</v>
      </c>
    </row>
    <row r="365">
      <c r="A365" s="8">
        <v>363.0</v>
      </c>
      <c r="B365" s="8" t="s">
        <v>31</v>
      </c>
      <c r="C365" s="8" t="s">
        <v>27</v>
      </c>
      <c r="D365" s="8" t="s">
        <v>43</v>
      </c>
      <c r="E365" s="12">
        <v>45771.0</v>
      </c>
      <c r="F365" s="8">
        <v>64.07</v>
      </c>
      <c r="G365" s="8" t="s">
        <v>29</v>
      </c>
      <c r="H365" s="8" t="s">
        <v>41</v>
      </c>
      <c r="I365" s="8">
        <v>1043.0</v>
      </c>
    </row>
    <row r="366">
      <c r="A366" s="8">
        <v>364.0</v>
      </c>
      <c r="B366" s="8" t="s">
        <v>44</v>
      </c>
      <c r="C366" s="8" t="s">
        <v>42</v>
      </c>
      <c r="D366" s="8" t="s">
        <v>43</v>
      </c>
      <c r="E366" s="12">
        <v>45681.0</v>
      </c>
      <c r="F366" s="8">
        <v>50.43</v>
      </c>
      <c r="H366" s="8" t="s">
        <v>30</v>
      </c>
      <c r="I366" s="8">
        <v>1021.0</v>
      </c>
    </row>
    <row r="367">
      <c r="A367" s="8">
        <v>365.0</v>
      </c>
      <c r="B367" s="8" t="s">
        <v>34</v>
      </c>
      <c r="C367" s="8" t="s">
        <v>27</v>
      </c>
      <c r="D367" s="8" t="s">
        <v>32</v>
      </c>
      <c r="E367" s="12">
        <v>45672.0</v>
      </c>
      <c r="F367" s="8">
        <v>81.22</v>
      </c>
      <c r="H367" s="8" t="s">
        <v>33</v>
      </c>
      <c r="I367" s="8">
        <v>1078.0</v>
      </c>
    </row>
    <row r="368">
      <c r="A368" s="8">
        <v>366.0</v>
      </c>
      <c r="B368" s="8" t="s">
        <v>38</v>
      </c>
      <c r="C368" s="8" t="s">
        <v>45</v>
      </c>
      <c r="D368" s="8" t="s">
        <v>28</v>
      </c>
      <c r="E368" s="12">
        <v>45706.0</v>
      </c>
      <c r="F368" s="8">
        <v>89.32</v>
      </c>
      <c r="H368" s="8" t="s">
        <v>33</v>
      </c>
      <c r="I368" s="8">
        <v>1008.0</v>
      </c>
    </row>
    <row r="369">
      <c r="A369" s="8">
        <v>367.0</v>
      </c>
      <c r="B369" s="8" t="s">
        <v>34</v>
      </c>
      <c r="C369" s="8" t="s">
        <v>27</v>
      </c>
      <c r="D369" s="8" t="s">
        <v>43</v>
      </c>
      <c r="E369" s="12">
        <v>45691.0</v>
      </c>
      <c r="F369" s="8">
        <v>63.73</v>
      </c>
      <c r="H369" s="8" t="s">
        <v>30</v>
      </c>
      <c r="I369" s="8">
        <v>1093.0</v>
      </c>
    </row>
    <row r="370">
      <c r="A370" s="8">
        <v>368.0</v>
      </c>
      <c r="B370" s="8" t="s">
        <v>44</v>
      </c>
      <c r="C370" s="8" t="s">
        <v>27</v>
      </c>
      <c r="D370" s="8" t="s">
        <v>32</v>
      </c>
      <c r="E370" s="13">
        <v>45659.0</v>
      </c>
      <c r="F370" s="8">
        <v>53.03</v>
      </c>
      <c r="H370" s="8" t="s">
        <v>41</v>
      </c>
      <c r="I370" s="8">
        <v>1021.0</v>
      </c>
    </row>
    <row r="371">
      <c r="A371" s="8">
        <v>369.0</v>
      </c>
      <c r="B371" s="8" t="s">
        <v>26</v>
      </c>
      <c r="C371" s="8" t="s">
        <v>27</v>
      </c>
      <c r="D371" s="8" t="s">
        <v>43</v>
      </c>
      <c r="E371" s="12">
        <v>45667.0</v>
      </c>
      <c r="F371" s="8">
        <v>26.16</v>
      </c>
      <c r="H371" s="8" t="s">
        <v>41</v>
      </c>
      <c r="I371" s="8">
        <v>1030.0</v>
      </c>
    </row>
    <row r="372">
      <c r="A372" s="8">
        <v>370.0</v>
      </c>
      <c r="B372" s="8" t="s">
        <v>38</v>
      </c>
      <c r="C372" s="8" t="s">
        <v>42</v>
      </c>
      <c r="D372" s="8" t="s">
        <v>32</v>
      </c>
      <c r="E372" s="12">
        <v>45668.0</v>
      </c>
      <c r="F372" s="8">
        <v>16.28</v>
      </c>
      <c r="H372" s="8" t="s">
        <v>30</v>
      </c>
      <c r="I372" s="8">
        <v>1083.0</v>
      </c>
    </row>
    <row r="373">
      <c r="A373" s="8">
        <v>371.0</v>
      </c>
      <c r="B373" s="8" t="s">
        <v>44</v>
      </c>
      <c r="C373" s="8" t="s">
        <v>45</v>
      </c>
      <c r="D373" s="8" t="s">
        <v>32</v>
      </c>
      <c r="E373" s="12">
        <v>45660.0</v>
      </c>
      <c r="F373" s="8">
        <v>96.5</v>
      </c>
      <c r="G373" s="8" t="s">
        <v>36</v>
      </c>
      <c r="H373" s="8" t="s">
        <v>30</v>
      </c>
      <c r="I373" s="8">
        <v>1071.0</v>
      </c>
    </row>
    <row r="374">
      <c r="A374" s="8">
        <v>372.0</v>
      </c>
      <c r="B374" s="8" t="s">
        <v>44</v>
      </c>
      <c r="C374" s="8" t="s">
        <v>37</v>
      </c>
      <c r="D374" s="8" t="s">
        <v>43</v>
      </c>
      <c r="E374" s="12">
        <v>45684.0</v>
      </c>
      <c r="F374" s="8">
        <v>85.21</v>
      </c>
      <c r="G374" s="8" t="s">
        <v>36</v>
      </c>
      <c r="H374" s="8" t="s">
        <v>30</v>
      </c>
      <c r="I374" s="8">
        <v>1098.0</v>
      </c>
    </row>
    <row r="375">
      <c r="A375" s="8">
        <v>373.0</v>
      </c>
      <c r="B375" s="8" t="s">
        <v>26</v>
      </c>
      <c r="C375" s="8" t="s">
        <v>42</v>
      </c>
      <c r="D375" s="8" t="s">
        <v>32</v>
      </c>
      <c r="E375" s="12">
        <v>45737.0</v>
      </c>
      <c r="F375" s="8">
        <v>5.21</v>
      </c>
      <c r="G375" s="8" t="s">
        <v>36</v>
      </c>
      <c r="H375" s="8" t="s">
        <v>30</v>
      </c>
      <c r="I375" s="8">
        <v>1037.0</v>
      </c>
    </row>
    <row r="376">
      <c r="A376" s="8">
        <v>374.0</v>
      </c>
      <c r="B376" s="8" t="s">
        <v>34</v>
      </c>
      <c r="C376" s="8" t="s">
        <v>45</v>
      </c>
      <c r="D376" s="8" t="s">
        <v>28</v>
      </c>
      <c r="E376" s="12">
        <v>45728.0</v>
      </c>
      <c r="F376" s="8">
        <v>75.54</v>
      </c>
      <c r="H376" s="8" t="s">
        <v>33</v>
      </c>
      <c r="I376" s="8">
        <v>1032.0</v>
      </c>
    </row>
    <row r="377">
      <c r="A377" s="8">
        <v>375.0</v>
      </c>
      <c r="B377" s="8" t="s">
        <v>34</v>
      </c>
      <c r="C377" s="8" t="s">
        <v>42</v>
      </c>
      <c r="D377" s="8" t="s">
        <v>28</v>
      </c>
      <c r="E377" s="12">
        <v>45736.0</v>
      </c>
      <c r="F377" s="8">
        <v>73.09</v>
      </c>
      <c r="G377" s="8" t="s">
        <v>29</v>
      </c>
      <c r="H377" s="8" t="s">
        <v>41</v>
      </c>
      <c r="I377" s="8">
        <v>1005.0</v>
      </c>
    </row>
    <row r="378">
      <c r="A378" s="8">
        <v>376.0</v>
      </c>
      <c r="B378" s="8" t="s">
        <v>38</v>
      </c>
      <c r="C378" s="8" t="s">
        <v>45</v>
      </c>
      <c r="D378" s="8" t="s">
        <v>35</v>
      </c>
      <c r="E378" s="12">
        <v>45776.0</v>
      </c>
      <c r="F378" s="8">
        <v>52.9</v>
      </c>
      <c r="H378" s="8" t="s">
        <v>33</v>
      </c>
      <c r="I378" s="8">
        <v>1067.0</v>
      </c>
    </row>
    <row r="379">
      <c r="A379" s="8">
        <v>377.0</v>
      </c>
      <c r="B379" s="8" t="s">
        <v>44</v>
      </c>
      <c r="C379" s="8" t="s">
        <v>42</v>
      </c>
      <c r="D379" s="8" t="s">
        <v>28</v>
      </c>
      <c r="E379" s="12">
        <v>45752.0</v>
      </c>
      <c r="F379" s="8">
        <v>82.45</v>
      </c>
      <c r="G379" s="8" t="s">
        <v>29</v>
      </c>
      <c r="H379" s="8" t="s">
        <v>41</v>
      </c>
      <c r="I379" s="8">
        <v>1084.0</v>
      </c>
    </row>
    <row r="380">
      <c r="A380" s="8">
        <v>378.0</v>
      </c>
      <c r="B380" s="8" t="s">
        <v>26</v>
      </c>
      <c r="C380" s="8" t="s">
        <v>42</v>
      </c>
      <c r="D380" s="8" t="s">
        <v>35</v>
      </c>
      <c r="E380" s="12">
        <v>45734.0</v>
      </c>
      <c r="F380" s="8">
        <v>77.43</v>
      </c>
      <c r="G380" s="8" t="s">
        <v>36</v>
      </c>
      <c r="H380" s="8" t="s">
        <v>41</v>
      </c>
      <c r="I380" s="8">
        <v>1043.0</v>
      </c>
    </row>
    <row r="381">
      <c r="A381" s="8">
        <v>379.0</v>
      </c>
      <c r="B381" s="8" t="s">
        <v>31</v>
      </c>
      <c r="C381" s="8" t="s">
        <v>27</v>
      </c>
      <c r="D381" s="8" t="s">
        <v>35</v>
      </c>
      <c r="E381" s="12">
        <v>45695.0</v>
      </c>
      <c r="F381" s="8">
        <v>53.67</v>
      </c>
      <c r="G381" s="8" t="s">
        <v>36</v>
      </c>
      <c r="H381" s="8" t="s">
        <v>30</v>
      </c>
      <c r="I381" s="8">
        <v>1094.0</v>
      </c>
    </row>
    <row r="382">
      <c r="A382" s="8">
        <v>380.0</v>
      </c>
      <c r="B382" s="8" t="s">
        <v>31</v>
      </c>
      <c r="C382" s="8" t="s">
        <v>27</v>
      </c>
      <c r="D382" s="8" t="s">
        <v>28</v>
      </c>
      <c r="E382" s="12">
        <v>45777.0</v>
      </c>
      <c r="F382" s="8">
        <v>37.8</v>
      </c>
      <c r="G382" s="8" t="s">
        <v>40</v>
      </c>
      <c r="H382" s="8" t="s">
        <v>30</v>
      </c>
      <c r="I382" s="8">
        <v>1083.0</v>
      </c>
    </row>
    <row r="383">
      <c r="A383" s="8">
        <v>381.0</v>
      </c>
      <c r="B383" s="8" t="s">
        <v>26</v>
      </c>
      <c r="C383" s="8" t="s">
        <v>45</v>
      </c>
      <c r="D383" s="8" t="s">
        <v>43</v>
      </c>
      <c r="E383" s="12">
        <v>45680.0</v>
      </c>
      <c r="F383" s="8">
        <v>94.55</v>
      </c>
      <c r="H383" s="8" t="s">
        <v>30</v>
      </c>
      <c r="I383" s="8">
        <v>1095.0</v>
      </c>
    </row>
    <row r="384">
      <c r="A384" s="8">
        <v>382.0</v>
      </c>
      <c r="B384" s="8" t="s">
        <v>26</v>
      </c>
      <c r="C384" s="8" t="s">
        <v>42</v>
      </c>
      <c r="D384" s="8" t="s">
        <v>32</v>
      </c>
      <c r="E384" s="12">
        <v>45772.0</v>
      </c>
      <c r="F384" s="8" t="s">
        <v>39</v>
      </c>
      <c r="G384" s="8" t="s">
        <v>40</v>
      </c>
      <c r="H384" s="8" t="s">
        <v>33</v>
      </c>
      <c r="I384" s="8">
        <v>1085.0</v>
      </c>
    </row>
    <row r="385">
      <c r="A385" s="8">
        <v>383.0</v>
      </c>
      <c r="B385" s="8" t="s">
        <v>31</v>
      </c>
      <c r="C385" s="8" t="s">
        <v>37</v>
      </c>
      <c r="D385" s="8" t="s">
        <v>43</v>
      </c>
      <c r="E385" s="12">
        <v>45665.0</v>
      </c>
      <c r="F385" s="8">
        <v>79.51</v>
      </c>
      <c r="G385" s="8" t="s">
        <v>40</v>
      </c>
      <c r="H385" s="8" t="s">
        <v>30</v>
      </c>
      <c r="I385" s="8">
        <v>1004.0</v>
      </c>
    </row>
    <row r="386">
      <c r="A386" s="8">
        <v>384.0</v>
      </c>
      <c r="B386" s="8" t="s">
        <v>34</v>
      </c>
      <c r="C386" s="8" t="s">
        <v>27</v>
      </c>
      <c r="D386" s="8" t="s">
        <v>35</v>
      </c>
      <c r="E386" s="12">
        <v>45703.0</v>
      </c>
      <c r="F386" s="8">
        <v>80.89</v>
      </c>
      <c r="G386" s="8" t="s">
        <v>36</v>
      </c>
      <c r="H386" s="8" t="s">
        <v>30</v>
      </c>
      <c r="I386" s="8">
        <v>1085.0</v>
      </c>
    </row>
    <row r="387">
      <c r="A387" s="8">
        <v>385.0</v>
      </c>
      <c r="B387" s="8" t="s">
        <v>44</v>
      </c>
      <c r="C387" s="8" t="s">
        <v>42</v>
      </c>
      <c r="D387" s="8" t="s">
        <v>43</v>
      </c>
      <c r="E387" s="12">
        <v>45664.0</v>
      </c>
      <c r="F387" s="8">
        <v>75.65</v>
      </c>
      <c r="G387" s="8" t="s">
        <v>40</v>
      </c>
      <c r="H387" s="8" t="s">
        <v>30</v>
      </c>
      <c r="I387" s="8">
        <v>1099.0</v>
      </c>
    </row>
    <row r="388">
      <c r="A388" s="8">
        <v>386.0</v>
      </c>
      <c r="B388" s="8" t="s">
        <v>31</v>
      </c>
      <c r="C388" s="8" t="s">
        <v>37</v>
      </c>
      <c r="D388" s="8" t="s">
        <v>28</v>
      </c>
      <c r="E388" s="12">
        <v>45768.0</v>
      </c>
      <c r="F388" s="8">
        <v>32.95</v>
      </c>
      <c r="G388" s="8" t="s">
        <v>40</v>
      </c>
      <c r="H388" s="8" t="s">
        <v>30</v>
      </c>
      <c r="I388" s="8">
        <v>1009.0</v>
      </c>
    </row>
    <row r="389">
      <c r="A389" s="8">
        <v>387.0</v>
      </c>
      <c r="B389" s="8" t="s">
        <v>38</v>
      </c>
      <c r="C389" s="8" t="s">
        <v>45</v>
      </c>
      <c r="D389" s="8" t="s">
        <v>35</v>
      </c>
      <c r="E389" s="12">
        <v>45681.0</v>
      </c>
      <c r="F389" s="8">
        <v>30.1</v>
      </c>
      <c r="G389" s="8" t="s">
        <v>40</v>
      </c>
      <c r="H389" s="8" t="s">
        <v>30</v>
      </c>
      <c r="I389" s="8">
        <v>1032.0</v>
      </c>
    </row>
    <row r="390">
      <c r="A390" s="8">
        <v>388.0</v>
      </c>
      <c r="B390" s="8" t="s">
        <v>31</v>
      </c>
      <c r="C390" s="8" t="s">
        <v>45</v>
      </c>
      <c r="D390" s="8" t="s">
        <v>28</v>
      </c>
      <c r="E390" s="12">
        <v>45658.0</v>
      </c>
      <c r="F390" s="8">
        <v>78.5</v>
      </c>
      <c r="G390" s="8" t="s">
        <v>36</v>
      </c>
      <c r="H390" s="8" t="s">
        <v>41</v>
      </c>
      <c r="I390" s="8">
        <v>1073.0</v>
      </c>
    </row>
    <row r="391">
      <c r="A391" s="8">
        <v>389.0</v>
      </c>
      <c r="B391" s="8" t="s">
        <v>26</v>
      </c>
      <c r="C391" s="8" t="s">
        <v>27</v>
      </c>
      <c r="D391" s="8" t="s">
        <v>28</v>
      </c>
      <c r="E391" s="12">
        <v>45728.0</v>
      </c>
      <c r="F391" s="8">
        <v>20.14</v>
      </c>
      <c r="H391" s="8" t="s">
        <v>33</v>
      </c>
      <c r="I391" s="8">
        <v>1044.0</v>
      </c>
    </row>
    <row r="392">
      <c r="A392" s="8">
        <v>390.0</v>
      </c>
      <c r="B392" s="8" t="s">
        <v>26</v>
      </c>
      <c r="C392" s="8" t="s">
        <v>37</v>
      </c>
      <c r="D392" s="8" t="s">
        <v>43</v>
      </c>
      <c r="E392" s="12">
        <v>45686.0</v>
      </c>
      <c r="F392" s="8">
        <v>63.74</v>
      </c>
      <c r="H392" s="8" t="s">
        <v>30</v>
      </c>
      <c r="I392" s="8">
        <v>1096.0</v>
      </c>
    </row>
    <row r="393">
      <c r="B393" s="8" t="s">
        <v>26</v>
      </c>
      <c r="C393" s="8" t="s">
        <v>42</v>
      </c>
      <c r="D393" s="8" t="s">
        <v>28</v>
      </c>
      <c r="E393" s="12">
        <v>45741.0</v>
      </c>
      <c r="F393" s="8">
        <v>64.01</v>
      </c>
      <c r="G393" s="8" t="s">
        <v>29</v>
      </c>
      <c r="H393" s="8" t="s">
        <v>30</v>
      </c>
      <c r="I393" s="8">
        <v>1041.0</v>
      </c>
    </row>
    <row r="394">
      <c r="A394" s="8">
        <v>392.0</v>
      </c>
      <c r="B394" s="8" t="s">
        <v>34</v>
      </c>
      <c r="C394" s="8" t="s">
        <v>42</v>
      </c>
      <c r="D394" s="8" t="s">
        <v>43</v>
      </c>
      <c r="E394" s="12">
        <v>45706.0</v>
      </c>
      <c r="F394" s="8">
        <v>91.58</v>
      </c>
      <c r="G394" s="8" t="s">
        <v>36</v>
      </c>
      <c r="H394" s="8" t="s">
        <v>30</v>
      </c>
      <c r="I394" s="8">
        <v>1065.0</v>
      </c>
    </row>
    <row r="395">
      <c r="A395" s="8">
        <v>393.0</v>
      </c>
      <c r="B395" s="8" t="s">
        <v>26</v>
      </c>
      <c r="C395" s="8" t="s">
        <v>27</v>
      </c>
      <c r="D395" s="8" t="s">
        <v>43</v>
      </c>
      <c r="E395" s="12">
        <v>45715.0</v>
      </c>
      <c r="F395" s="8">
        <v>20.9</v>
      </c>
      <c r="G395" s="8" t="s">
        <v>29</v>
      </c>
      <c r="H395" s="8" t="s">
        <v>30</v>
      </c>
      <c r="I395" s="8">
        <v>1008.0</v>
      </c>
    </row>
    <row r="396">
      <c r="A396" s="8">
        <v>394.0</v>
      </c>
      <c r="B396" s="8" t="s">
        <v>31</v>
      </c>
      <c r="C396" s="8" t="s">
        <v>42</v>
      </c>
      <c r="D396" s="8" t="s">
        <v>32</v>
      </c>
      <c r="E396" s="12">
        <v>45684.0</v>
      </c>
      <c r="F396" s="8">
        <v>88.47</v>
      </c>
      <c r="H396" s="8" t="s">
        <v>30</v>
      </c>
      <c r="I396" s="8">
        <v>1009.0</v>
      </c>
    </row>
    <row r="397">
      <c r="A397" s="8">
        <v>395.0</v>
      </c>
      <c r="B397" s="8" t="s">
        <v>34</v>
      </c>
      <c r="C397" s="8" t="s">
        <v>42</v>
      </c>
      <c r="D397" s="8" t="s">
        <v>43</v>
      </c>
      <c r="E397" s="12">
        <v>45753.0</v>
      </c>
      <c r="F397" s="8">
        <v>21.91</v>
      </c>
      <c r="G397" s="8" t="s">
        <v>36</v>
      </c>
      <c r="H397" s="8" t="s">
        <v>30</v>
      </c>
      <c r="I397" s="8">
        <v>1009.0</v>
      </c>
    </row>
    <row r="398">
      <c r="A398" s="8">
        <v>396.0</v>
      </c>
      <c r="B398" s="8" t="s">
        <v>26</v>
      </c>
      <c r="C398" s="8" t="s">
        <v>42</v>
      </c>
      <c r="D398" s="8" t="s">
        <v>35</v>
      </c>
      <c r="E398" s="12">
        <v>45731.0</v>
      </c>
      <c r="F398" s="8">
        <v>35.06</v>
      </c>
      <c r="H398" s="8" t="s">
        <v>30</v>
      </c>
      <c r="I398" s="8">
        <v>1015.0</v>
      </c>
    </row>
    <row r="399">
      <c r="B399" s="8" t="s">
        <v>38</v>
      </c>
      <c r="C399" s="8" t="s">
        <v>45</v>
      </c>
      <c r="D399" s="8" t="s">
        <v>32</v>
      </c>
      <c r="E399" s="12">
        <v>45726.0</v>
      </c>
      <c r="F399" s="8">
        <v>93.16</v>
      </c>
      <c r="G399" s="8" t="s">
        <v>29</v>
      </c>
      <c r="H399" s="8" t="s">
        <v>41</v>
      </c>
      <c r="I399" s="8">
        <v>1100.0</v>
      </c>
    </row>
    <row r="400">
      <c r="A400" s="8">
        <v>398.0</v>
      </c>
      <c r="B400" s="8" t="s">
        <v>34</v>
      </c>
      <c r="C400" s="8" t="s">
        <v>37</v>
      </c>
      <c r="D400" s="8" t="s">
        <v>35</v>
      </c>
      <c r="E400" s="12">
        <v>45745.0</v>
      </c>
      <c r="F400" s="8">
        <v>7.93</v>
      </c>
      <c r="G400" s="8" t="s">
        <v>40</v>
      </c>
      <c r="H400" s="8" t="s">
        <v>30</v>
      </c>
      <c r="I400" s="8">
        <v>1028.0</v>
      </c>
    </row>
    <row r="401">
      <c r="A401" s="8">
        <v>399.0</v>
      </c>
      <c r="B401" s="8" t="s">
        <v>38</v>
      </c>
      <c r="C401" s="8" t="s">
        <v>37</v>
      </c>
      <c r="D401" s="8" t="s">
        <v>28</v>
      </c>
      <c r="E401" s="12">
        <v>45675.0</v>
      </c>
      <c r="F401" s="8">
        <v>96.71</v>
      </c>
      <c r="G401" s="8" t="s">
        <v>36</v>
      </c>
      <c r="H401" s="8" t="s">
        <v>33</v>
      </c>
      <c r="I401" s="8">
        <v>1070.0</v>
      </c>
    </row>
    <row r="402">
      <c r="A402" s="8">
        <v>400.0</v>
      </c>
      <c r="B402" s="8" t="s">
        <v>34</v>
      </c>
      <c r="C402" s="8" t="s">
        <v>45</v>
      </c>
      <c r="D402" s="8" t="s">
        <v>32</v>
      </c>
      <c r="E402" s="12">
        <v>45769.0</v>
      </c>
      <c r="F402" s="8">
        <v>57.01</v>
      </c>
      <c r="G402" s="8" t="s">
        <v>29</v>
      </c>
      <c r="H402" s="8" t="s">
        <v>41</v>
      </c>
      <c r="I402" s="8">
        <v>1026.0</v>
      </c>
    </row>
    <row r="403">
      <c r="A403" s="8">
        <v>401.0</v>
      </c>
      <c r="B403" s="8" t="s">
        <v>26</v>
      </c>
      <c r="C403" s="8" t="s">
        <v>27</v>
      </c>
      <c r="D403" s="8" t="s">
        <v>35</v>
      </c>
      <c r="E403" s="12">
        <v>45753.0</v>
      </c>
      <c r="F403" s="8">
        <v>18.53</v>
      </c>
      <c r="G403" s="8" t="s">
        <v>40</v>
      </c>
      <c r="H403" s="8" t="s">
        <v>33</v>
      </c>
      <c r="I403" s="8">
        <v>1078.0</v>
      </c>
    </row>
    <row r="404">
      <c r="A404" s="8">
        <v>402.0</v>
      </c>
      <c r="B404" s="8" t="s">
        <v>34</v>
      </c>
      <c r="C404" s="8" t="s">
        <v>27</v>
      </c>
      <c r="D404" s="8" t="s">
        <v>32</v>
      </c>
      <c r="E404" s="12">
        <v>45764.0</v>
      </c>
      <c r="F404" s="8">
        <v>99.46</v>
      </c>
      <c r="H404" s="8" t="s">
        <v>30</v>
      </c>
      <c r="I404" s="8">
        <v>1070.0</v>
      </c>
    </row>
    <row r="405">
      <c r="A405" s="8">
        <v>403.0</v>
      </c>
      <c r="B405" s="8" t="s">
        <v>34</v>
      </c>
      <c r="C405" s="8" t="s">
        <v>37</v>
      </c>
      <c r="D405" s="8" t="s">
        <v>32</v>
      </c>
      <c r="E405" s="12">
        <v>45667.0</v>
      </c>
      <c r="F405" s="8">
        <v>95.4</v>
      </c>
      <c r="G405" s="8" t="s">
        <v>36</v>
      </c>
      <c r="H405" s="8" t="s">
        <v>33</v>
      </c>
      <c r="I405" s="8">
        <v>1085.0</v>
      </c>
    </row>
    <row r="406">
      <c r="A406" s="8">
        <v>404.0</v>
      </c>
      <c r="B406" s="8" t="s">
        <v>26</v>
      </c>
      <c r="C406" s="8" t="s">
        <v>45</v>
      </c>
      <c r="D406" s="8" t="s">
        <v>28</v>
      </c>
      <c r="E406" s="12">
        <v>45741.0</v>
      </c>
      <c r="F406" s="8">
        <v>63.55</v>
      </c>
      <c r="G406" s="8" t="s">
        <v>36</v>
      </c>
      <c r="H406" s="8" t="s">
        <v>30</v>
      </c>
      <c r="I406" s="8">
        <v>1074.0</v>
      </c>
    </row>
    <row r="407">
      <c r="A407" s="8">
        <v>405.0</v>
      </c>
      <c r="B407" s="8" t="s">
        <v>26</v>
      </c>
      <c r="C407" s="8" t="s">
        <v>37</v>
      </c>
      <c r="D407" s="8" t="s">
        <v>35</v>
      </c>
      <c r="E407" s="12">
        <v>45677.0</v>
      </c>
      <c r="F407" s="8">
        <v>79.64</v>
      </c>
      <c r="H407" s="8" t="s">
        <v>41</v>
      </c>
      <c r="I407" s="8">
        <v>1046.0</v>
      </c>
    </row>
    <row r="408">
      <c r="A408" s="8">
        <v>406.0</v>
      </c>
      <c r="B408" s="8" t="s">
        <v>26</v>
      </c>
      <c r="C408" s="8" t="s">
        <v>42</v>
      </c>
      <c r="D408" s="8" t="s">
        <v>35</v>
      </c>
      <c r="E408" s="12">
        <v>45675.0</v>
      </c>
      <c r="F408" s="8">
        <v>51.26</v>
      </c>
      <c r="G408" s="8" t="s">
        <v>29</v>
      </c>
      <c r="H408" s="8" t="s">
        <v>33</v>
      </c>
      <c r="I408" s="8">
        <v>1082.0</v>
      </c>
    </row>
    <row r="409">
      <c r="A409" s="8">
        <v>407.0</v>
      </c>
      <c r="B409" s="8" t="s">
        <v>26</v>
      </c>
      <c r="C409" s="8" t="s">
        <v>27</v>
      </c>
      <c r="D409" s="8" t="s">
        <v>28</v>
      </c>
      <c r="E409" s="12">
        <v>45735.0</v>
      </c>
      <c r="F409" s="8">
        <v>12.26</v>
      </c>
      <c r="G409" s="8" t="s">
        <v>29</v>
      </c>
      <c r="H409" s="8" t="s">
        <v>33</v>
      </c>
      <c r="I409" s="8">
        <v>1064.0</v>
      </c>
    </row>
    <row r="410">
      <c r="A410" s="8">
        <v>408.0</v>
      </c>
      <c r="B410" s="8" t="s">
        <v>38</v>
      </c>
      <c r="C410" s="8" t="s">
        <v>42</v>
      </c>
      <c r="D410" s="8" t="s">
        <v>28</v>
      </c>
      <c r="E410" s="12">
        <v>45738.0</v>
      </c>
      <c r="F410" s="8">
        <v>56.63</v>
      </c>
      <c r="H410" s="8" t="s">
        <v>30</v>
      </c>
      <c r="I410" s="8">
        <v>1099.0</v>
      </c>
    </row>
    <row r="411">
      <c r="A411" s="8">
        <v>409.0</v>
      </c>
      <c r="B411" s="8" t="s">
        <v>31</v>
      </c>
      <c r="C411" s="8" t="s">
        <v>37</v>
      </c>
      <c r="D411" s="8" t="s">
        <v>28</v>
      </c>
      <c r="E411" s="12">
        <v>45677.0</v>
      </c>
      <c r="F411" s="8">
        <v>42.69</v>
      </c>
      <c r="G411" s="8" t="s">
        <v>29</v>
      </c>
      <c r="H411" s="8" t="s">
        <v>30</v>
      </c>
      <c r="I411" s="8">
        <v>1030.0</v>
      </c>
    </row>
    <row r="412">
      <c r="A412" s="8">
        <v>410.0</v>
      </c>
      <c r="B412" s="8" t="s">
        <v>38</v>
      </c>
      <c r="C412" s="8" t="s">
        <v>27</v>
      </c>
      <c r="D412" s="8" t="s">
        <v>28</v>
      </c>
      <c r="E412" s="12">
        <v>45766.0</v>
      </c>
      <c r="F412" s="8">
        <v>95.13</v>
      </c>
      <c r="G412" s="8" t="s">
        <v>40</v>
      </c>
      <c r="H412" s="8" t="s">
        <v>30</v>
      </c>
      <c r="I412" s="8">
        <v>1093.0</v>
      </c>
    </row>
    <row r="413">
      <c r="A413" s="8">
        <v>411.0</v>
      </c>
      <c r="B413" s="8" t="s">
        <v>34</v>
      </c>
      <c r="C413" s="8" t="s">
        <v>27</v>
      </c>
      <c r="D413" s="8" t="s">
        <v>35</v>
      </c>
      <c r="E413" s="12">
        <v>45719.0</v>
      </c>
      <c r="F413" s="8">
        <v>27.23</v>
      </c>
      <c r="G413" s="8" t="s">
        <v>40</v>
      </c>
      <c r="H413" s="8" t="s">
        <v>30</v>
      </c>
      <c r="I413" s="8">
        <v>1046.0</v>
      </c>
    </row>
    <row r="414">
      <c r="A414" s="8">
        <v>412.0</v>
      </c>
      <c r="B414" s="8" t="s">
        <v>44</v>
      </c>
      <c r="C414" s="8" t="s">
        <v>45</v>
      </c>
      <c r="D414" s="8" t="s">
        <v>32</v>
      </c>
      <c r="E414" s="12">
        <v>45707.0</v>
      </c>
      <c r="F414" s="8">
        <v>71.85</v>
      </c>
      <c r="G414" s="8" t="s">
        <v>36</v>
      </c>
      <c r="H414" s="8" t="s">
        <v>30</v>
      </c>
      <c r="I414" s="8">
        <v>1033.0</v>
      </c>
    </row>
    <row r="415">
      <c r="A415" s="8">
        <v>413.0</v>
      </c>
      <c r="B415" s="8" t="s">
        <v>31</v>
      </c>
      <c r="C415" s="8" t="s">
        <v>42</v>
      </c>
      <c r="D415" s="8" t="s">
        <v>35</v>
      </c>
      <c r="E415" s="12">
        <v>45732.0</v>
      </c>
      <c r="F415" s="8">
        <v>84.37</v>
      </c>
      <c r="G415" s="8" t="s">
        <v>36</v>
      </c>
      <c r="H415" s="8" t="s">
        <v>41</v>
      </c>
      <c r="I415" s="8">
        <v>1028.0</v>
      </c>
    </row>
    <row r="416">
      <c r="A416" s="8">
        <v>414.0</v>
      </c>
      <c r="B416" s="8" t="s">
        <v>26</v>
      </c>
      <c r="C416" s="8" t="s">
        <v>42</v>
      </c>
      <c r="D416" s="8" t="s">
        <v>35</v>
      </c>
      <c r="E416" s="12">
        <v>45724.0</v>
      </c>
      <c r="F416" s="8" t="s">
        <v>39</v>
      </c>
      <c r="G416" s="8" t="s">
        <v>40</v>
      </c>
      <c r="H416" s="8" t="s">
        <v>41</v>
      </c>
      <c r="I416" s="8">
        <v>1021.0</v>
      </c>
    </row>
    <row r="417">
      <c r="A417" s="8">
        <v>415.0</v>
      </c>
      <c r="B417" s="8" t="s">
        <v>26</v>
      </c>
      <c r="C417" s="8" t="s">
        <v>27</v>
      </c>
      <c r="D417" s="8" t="s">
        <v>28</v>
      </c>
      <c r="E417" s="12">
        <v>45687.0</v>
      </c>
      <c r="F417" s="8">
        <v>73.14</v>
      </c>
      <c r="G417" s="8" t="s">
        <v>29</v>
      </c>
      <c r="H417" s="8" t="s">
        <v>30</v>
      </c>
      <c r="I417" s="8">
        <v>1029.0</v>
      </c>
    </row>
    <row r="418">
      <c r="A418" s="8">
        <v>416.0</v>
      </c>
      <c r="B418" s="8" t="s">
        <v>34</v>
      </c>
      <c r="C418" s="8" t="s">
        <v>42</v>
      </c>
      <c r="D418" s="8" t="s">
        <v>35</v>
      </c>
      <c r="E418" s="12">
        <v>45711.0</v>
      </c>
      <c r="F418" s="8">
        <v>66.49</v>
      </c>
      <c r="H418" s="8" t="s">
        <v>33</v>
      </c>
      <c r="I418" s="8">
        <v>1031.0</v>
      </c>
    </row>
    <row r="419">
      <c r="A419" s="8">
        <v>417.0</v>
      </c>
      <c r="B419" s="8" t="s">
        <v>38</v>
      </c>
      <c r="C419" s="8" t="s">
        <v>27</v>
      </c>
      <c r="D419" s="8" t="s">
        <v>28</v>
      </c>
      <c r="E419" s="12">
        <v>45663.0</v>
      </c>
      <c r="F419" s="8" t="s">
        <v>39</v>
      </c>
      <c r="G419" s="8" t="s">
        <v>40</v>
      </c>
      <c r="H419" s="8" t="s">
        <v>33</v>
      </c>
      <c r="I419" s="8">
        <v>1021.0</v>
      </c>
    </row>
    <row r="420">
      <c r="A420" s="8">
        <v>418.0</v>
      </c>
      <c r="B420" s="8" t="s">
        <v>38</v>
      </c>
      <c r="C420" s="8" t="s">
        <v>42</v>
      </c>
      <c r="D420" s="8" t="s">
        <v>32</v>
      </c>
      <c r="E420" s="12">
        <v>45691.0</v>
      </c>
      <c r="F420" s="8">
        <v>83.02</v>
      </c>
      <c r="G420" s="8" t="s">
        <v>29</v>
      </c>
      <c r="H420" s="8" t="s">
        <v>33</v>
      </c>
      <c r="I420" s="8">
        <v>1057.0</v>
      </c>
    </row>
    <row r="421">
      <c r="A421" s="8">
        <v>419.0</v>
      </c>
      <c r="B421" s="8" t="s">
        <v>44</v>
      </c>
      <c r="C421" s="8" t="s">
        <v>27</v>
      </c>
      <c r="D421" s="8" t="s">
        <v>28</v>
      </c>
      <c r="E421" s="12">
        <v>45735.0</v>
      </c>
      <c r="F421" s="8">
        <v>80.49</v>
      </c>
      <c r="G421" s="8" t="s">
        <v>40</v>
      </c>
      <c r="H421" s="8" t="s">
        <v>30</v>
      </c>
      <c r="I421" s="8">
        <v>1084.0</v>
      </c>
    </row>
    <row r="422">
      <c r="A422" s="8">
        <v>420.0</v>
      </c>
      <c r="B422" s="8" t="s">
        <v>26</v>
      </c>
      <c r="C422" s="8" t="s">
        <v>42</v>
      </c>
      <c r="D422" s="8" t="s">
        <v>32</v>
      </c>
      <c r="E422" s="12">
        <v>45723.0</v>
      </c>
      <c r="F422" s="8">
        <v>15.31</v>
      </c>
      <c r="G422" s="8" t="s">
        <v>40</v>
      </c>
      <c r="H422" s="8" t="s">
        <v>30</v>
      </c>
      <c r="I422" s="8">
        <v>1064.0</v>
      </c>
    </row>
    <row r="423">
      <c r="A423" s="8">
        <v>421.0</v>
      </c>
      <c r="B423" s="8" t="s">
        <v>31</v>
      </c>
      <c r="C423" s="8" t="s">
        <v>45</v>
      </c>
      <c r="D423" s="8" t="s">
        <v>28</v>
      </c>
      <c r="E423" s="12">
        <v>45745.0</v>
      </c>
      <c r="F423" s="8">
        <v>8.71</v>
      </c>
      <c r="G423" s="8" t="s">
        <v>29</v>
      </c>
      <c r="H423" s="8" t="s">
        <v>33</v>
      </c>
      <c r="I423" s="8">
        <v>1061.0</v>
      </c>
    </row>
    <row r="424">
      <c r="A424" s="8">
        <v>422.0</v>
      </c>
      <c r="B424" s="8" t="s">
        <v>38</v>
      </c>
      <c r="C424" s="8" t="s">
        <v>45</v>
      </c>
      <c r="D424" s="8" t="s">
        <v>35</v>
      </c>
      <c r="E424" s="12">
        <v>45742.0</v>
      </c>
      <c r="F424" s="8">
        <v>9.13</v>
      </c>
      <c r="H424" s="8" t="s">
        <v>33</v>
      </c>
      <c r="I424" s="8">
        <v>1061.0</v>
      </c>
    </row>
    <row r="425">
      <c r="A425" s="8">
        <v>423.0</v>
      </c>
      <c r="B425" s="8" t="s">
        <v>26</v>
      </c>
      <c r="C425" s="8" t="s">
        <v>45</v>
      </c>
      <c r="D425" s="8" t="s">
        <v>35</v>
      </c>
      <c r="E425" s="12">
        <v>45759.0</v>
      </c>
      <c r="F425" s="8">
        <v>27.09</v>
      </c>
      <c r="G425" s="8" t="s">
        <v>29</v>
      </c>
      <c r="H425" s="8" t="s">
        <v>41</v>
      </c>
      <c r="I425" s="8">
        <v>1076.0</v>
      </c>
    </row>
    <row r="426">
      <c r="A426" s="8">
        <v>424.0</v>
      </c>
      <c r="B426" s="8" t="s">
        <v>26</v>
      </c>
      <c r="C426" s="8" t="s">
        <v>27</v>
      </c>
      <c r="D426" s="8" t="s">
        <v>32</v>
      </c>
      <c r="E426" s="12">
        <v>45770.0</v>
      </c>
      <c r="F426" s="8">
        <v>59.91</v>
      </c>
      <c r="G426" s="8" t="s">
        <v>29</v>
      </c>
      <c r="H426" s="8" t="s">
        <v>30</v>
      </c>
      <c r="I426" s="8">
        <v>1000.0</v>
      </c>
    </row>
    <row r="427">
      <c r="A427" s="8">
        <v>425.0</v>
      </c>
      <c r="B427" s="8" t="s">
        <v>26</v>
      </c>
      <c r="C427" s="8" t="s">
        <v>42</v>
      </c>
      <c r="D427" s="8" t="s">
        <v>43</v>
      </c>
      <c r="E427" s="12">
        <v>45706.0</v>
      </c>
      <c r="F427" s="8">
        <v>60.61</v>
      </c>
      <c r="G427" s="8" t="s">
        <v>36</v>
      </c>
      <c r="H427" s="8" t="s">
        <v>30</v>
      </c>
      <c r="I427" s="8">
        <v>1054.0</v>
      </c>
    </row>
    <row r="428">
      <c r="A428" s="8">
        <v>426.0</v>
      </c>
      <c r="B428" s="8" t="s">
        <v>26</v>
      </c>
      <c r="C428" s="8" t="s">
        <v>42</v>
      </c>
      <c r="D428" s="8" t="s">
        <v>28</v>
      </c>
      <c r="E428" s="12">
        <v>45730.0</v>
      </c>
      <c r="F428" s="8">
        <v>50.83</v>
      </c>
      <c r="G428" s="8" t="s">
        <v>36</v>
      </c>
      <c r="H428" s="8" t="s">
        <v>30</v>
      </c>
      <c r="I428" s="8">
        <v>1071.0</v>
      </c>
    </row>
    <row r="429">
      <c r="A429" s="8">
        <v>427.0</v>
      </c>
      <c r="B429" s="8" t="s">
        <v>26</v>
      </c>
      <c r="C429" s="8" t="s">
        <v>37</v>
      </c>
      <c r="D429" s="8" t="s">
        <v>35</v>
      </c>
      <c r="E429" s="12">
        <v>45719.0</v>
      </c>
      <c r="F429" s="8">
        <v>67.63</v>
      </c>
      <c r="G429" s="8" t="s">
        <v>40</v>
      </c>
      <c r="H429" s="8" t="s">
        <v>41</v>
      </c>
      <c r="I429" s="8">
        <v>1100.0</v>
      </c>
    </row>
    <row r="430">
      <c r="A430" s="8">
        <v>428.0</v>
      </c>
      <c r="B430" s="8" t="s">
        <v>34</v>
      </c>
      <c r="C430" s="8" t="s">
        <v>27</v>
      </c>
      <c r="D430" s="8" t="s">
        <v>35</v>
      </c>
      <c r="E430" s="12">
        <v>45747.0</v>
      </c>
      <c r="F430" s="8">
        <v>63.33</v>
      </c>
      <c r="G430" s="8" t="s">
        <v>29</v>
      </c>
      <c r="H430" s="8" t="s">
        <v>33</v>
      </c>
      <c r="I430" s="8">
        <v>1049.0</v>
      </c>
    </row>
    <row r="431">
      <c r="B431" s="8" t="s">
        <v>34</v>
      </c>
      <c r="C431" s="8" t="s">
        <v>27</v>
      </c>
      <c r="D431" s="8" t="s">
        <v>35</v>
      </c>
      <c r="E431" s="12">
        <v>45739.0</v>
      </c>
      <c r="F431" s="8">
        <v>11.09</v>
      </c>
      <c r="G431" s="8" t="s">
        <v>40</v>
      </c>
      <c r="H431" s="8" t="s">
        <v>41</v>
      </c>
      <c r="I431" s="8">
        <v>1010.0</v>
      </c>
    </row>
    <row r="432">
      <c r="A432" s="8">
        <v>430.0</v>
      </c>
      <c r="B432" s="8" t="s">
        <v>44</v>
      </c>
      <c r="C432" s="8" t="s">
        <v>42</v>
      </c>
      <c r="D432" s="8" t="s">
        <v>43</v>
      </c>
      <c r="E432" s="12">
        <v>45735.0</v>
      </c>
      <c r="F432" s="8">
        <v>94.84</v>
      </c>
      <c r="G432" s="8" t="s">
        <v>40</v>
      </c>
      <c r="H432" s="8" t="s">
        <v>30</v>
      </c>
      <c r="I432" s="8">
        <v>1063.0</v>
      </c>
    </row>
    <row r="433">
      <c r="B433" s="8" t="s">
        <v>38</v>
      </c>
      <c r="C433" s="8" t="s">
        <v>37</v>
      </c>
      <c r="D433" s="8" t="s">
        <v>28</v>
      </c>
      <c r="E433" s="12">
        <v>45714.0</v>
      </c>
      <c r="F433" s="8">
        <v>54.0</v>
      </c>
      <c r="G433" s="8" t="s">
        <v>40</v>
      </c>
      <c r="H433" s="8" t="s">
        <v>30</v>
      </c>
      <c r="I433" s="8">
        <v>1021.0</v>
      </c>
    </row>
    <row r="434">
      <c r="A434" s="8">
        <v>432.0</v>
      </c>
      <c r="B434" s="8" t="s">
        <v>31</v>
      </c>
      <c r="C434" s="8" t="s">
        <v>45</v>
      </c>
      <c r="D434" s="8" t="s">
        <v>28</v>
      </c>
      <c r="E434" s="12">
        <v>45744.0</v>
      </c>
      <c r="F434" s="8">
        <v>42.95</v>
      </c>
      <c r="H434" s="8" t="s">
        <v>41</v>
      </c>
      <c r="I434" s="8">
        <v>1075.0</v>
      </c>
    </row>
    <row r="435">
      <c r="A435" s="8">
        <v>433.0</v>
      </c>
      <c r="B435" s="8" t="s">
        <v>34</v>
      </c>
      <c r="C435" s="8" t="s">
        <v>45</v>
      </c>
      <c r="D435" s="8" t="s">
        <v>43</v>
      </c>
      <c r="E435" s="12">
        <v>45683.0</v>
      </c>
      <c r="F435" s="8">
        <v>60.38</v>
      </c>
      <c r="G435" s="8" t="s">
        <v>36</v>
      </c>
      <c r="H435" s="8" t="s">
        <v>41</v>
      </c>
      <c r="I435" s="8">
        <v>1028.0</v>
      </c>
    </row>
    <row r="436">
      <c r="A436" s="8">
        <v>434.0</v>
      </c>
      <c r="B436" s="8" t="s">
        <v>44</v>
      </c>
      <c r="C436" s="8" t="s">
        <v>42</v>
      </c>
      <c r="D436" s="8" t="s">
        <v>32</v>
      </c>
      <c r="E436" s="12">
        <v>45735.0</v>
      </c>
      <c r="F436" s="8">
        <v>15.11</v>
      </c>
      <c r="G436" s="8" t="s">
        <v>29</v>
      </c>
      <c r="H436" s="8" t="s">
        <v>30</v>
      </c>
      <c r="I436" s="8">
        <v>1037.0</v>
      </c>
    </row>
    <row r="437">
      <c r="A437" s="8">
        <v>435.0</v>
      </c>
      <c r="B437" s="8" t="s">
        <v>38</v>
      </c>
      <c r="C437" s="8" t="s">
        <v>37</v>
      </c>
      <c r="D437" s="8" t="s">
        <v>43</v>
      </c>
      <c r="E437" s="12">
        <v>45701.0</v>
      </c>
      <c r="F437" s="8">
        <v>58.5</v>
      </c>
      <c r="G437" s="8" t="s">
        <v>40</v>
      </c>
      <c r="H437" s="8" t="s">
        <v>41</v>
      </c>
      <c r="I437" s="8">
        <v>1099.0</v>
      </c>
    </row>
    <row r="438">
      <c r="A438" s="8">
        <v>436.0</v>
      </c>
      <c r="B438" s="8" t="s">
        <v>38</v>
      </c>
      <c r="C438" s="8" t="s">
        <v>45</v>
      </c>
      <c r="D438" s="8" t="s">
        <v>35</v>
      </c>
      <c r="E438" s="12">
        <v>45716.0</v>
      </c>
      <c r="F438" s="8">
        <v>65.2</v>
      </c>
      <c r="G438" s="8" t="s">
        <v>40</v>
      </c>
      <c r="H438" s="8" t="s">
        <v>30</v>
      </c>
      <c r="I438" s="8">
        <v>1089.0</v>
      </c>
    </row>
    <row r="439">
      <c r="A439" s="8">
        <v>437.0</v>
      </c>
      <c r="B439" s="8" t="s">
        <v>44</v>
      </c>
      <c r="C439" s="8" t="s">
        <v>37</v>
      </c>
      <c r="D439" s="8" t="s">
        <v>32</v>
      </c>
      <c r="E439" s="12">
        <v>45687.0</v>
      </c>
      <c r="F439" s="8">
        <v>32.29</v>
      </c>
      <c r="H439" s="8" t="s">
        <v>30</v>
      </c>
      <c r="I439" s="8">
        <v>1095.0</v>
      </c>
    </row>
    <row r="440">
      <c r="A440" s="8">
        <v>438.0</v>
      </c>
      <c r="B440" s="8" t="s">
        <v>38</v>
      </c>
      <c r="C440" s="8" t="s">
        <v>27</v>
      </c>
      <c r="D440" s="8" t="s">
        <v>35</v>
      </c>
      <c r="E440" s="12">
        <v>45763.0</v>
      </c>
      <c r="F440" s="8">
        <v>59.5</v>
      </c>
      <c r="G440" s="8" t="s">
        <v>40</v>
      </c>
      <c r="H440" s="8" t="s">
        <v>30</v>
      </c>
      <c r="I440" s="8">
        <v>1087.0</v>
      </c>
    </row>
    <row r="441">
      <c r="A441" s="8">
        <v>439.0</v>
      </c>
      <c r="B441" s="8" t="s">
        <v>44</v>
      </c>
      <c r="C441" s="8" t="s">
        <v>27</v>
      </c>
      <c r="D441" s="8" t="s">
        <v>28</v>
      </c>
      <c r="E441" s="12">
        <v>45777.0</v>
      </c>
      <c r="F441" s="8">
        <v>24.64</v>
      </c>
      <c r="G441" s="8" t="s">
        <v>40</v>
      </c>
      <c r="H441" s="8" t="s">
        <v>33</v>
      </c>
      <c r="I441" s="8">
        <v>1079.0</v>
      </c>
    </row>
    <row r="442">
      <c r="A442" s="8">
        <v>440.0</v>
      </c>
      <c r="B442" s="8" t="s">
        <v>34</v>
      </c>
      <c r="C442" s="8" t="s">
        <v>45</v>
      </c>
      <c r="D442" s="8" t="s">
        <v>32</v>
      </c>
      <c r="E442" s="12">
        <v>45703.0</v>
      </c>
      <c r="F442" s="8">
        <v>63.31</v>
      </c>
      <c r="G442" s="8" t="s">
        <v>29</v>
      </c>
      <c r="H442" s="8" t="s">
        <v>41</v>
      </c>
      <c r="I442" s="8">
        <v>1047.0</v>
      </c>
    </row>
    <row r="443">
      <c r="A443" s="8">
        <v>441.0</v>
      </c>
      <c r="B443" s="8" t="s">
        <v>38</v>
      </c>
      <c r="C443" s="8" t="s">
        <v>37</v>
      </c>
      <c r="D443" s="8" t="s">
        <v>35</v>
      </c>
      <c r="E443" s="12">
        <v>45737.0</v>
      </c>
      <c r="F443" s="8">
        <v>53.56</v>
      </c>
      <c r="H443" s="8" t="s">
        <v>33</v>
      </c>
      <c r="I443" s="8">
        <v>1096.0</v>
      </c>
    </row>
    <row r="444">
      <c r="A444" s="8">
        <v>442.0</v>
      </c>
      <c r="B444" s="8" t="s">
        <v>38</v>
      </c>
      <c r="C444" s="8" t="s">
        <v>42</v>
      </c>
      <c r="D444" s="8" t="s">
        <v>35</v>
      </c>
      <c r="E444" s="12">
        <v>45731.0</v>
      </c>
      <c r="F444" s="8" t="s">
        <v>39</v>
      </c>
      <c r="G444" s="8" t="s">
        <v>36</v>
      </c>
      <c r="H444" s="8" t="s">
        <v>41</v>
      </c>
      <c r="I444" s="8">
        <v>1087.0</v>
      </c>
    </row>
    <row r="445">
      <c r="A445" s="8">
        <v>443.0</v>
      </c>
      <c r="B445" s="8" t="s">
        <v>34</v>
      </c>
      <c r="C445" s="8" t="s">
        <v>42</v>
      </c>
      <c r="D445" s="8" t="s">
        <v>43</v>
      </c>
      <c r="E445" s="12">
        <v>45757.0</v>
      </c>
      <c r="F445" s="8" t="s">
        <v>39</v>
      </c>
      <c r="G445" s="8" t="s">
        <v>40</v>
      </c>
      <c r="H445" s="8" t="s">
        <v>41</v>
      </c>
      <c r="I445" s="8">
        <v>1074.0</v>
      </c>
    </row>
    <row r="446">
      <c r="A446" s="8">
        <v>444.0</v>
      </c>
      <c r="B446" s="8" t="s">
        <v>38</v>
      </c>
      <c r="C446" s="8" t="s">
        <v>37</v>
      </c>
      <c r="D446" s="8" t="s">
        <v>28</v>
      </c>
      <c r="E446" s="12">
        <v>45670.0</v>
      </c>
      <c r="F446" s="8">
        <v>49.78</v>
      </c>
      <c r="G446" s="8" t="s">
        <v>36</v>
      </c>
      <c r="H446" s="8" t="s">
        <v>41</v>
      </c>
      <c r="I446" s="8">
        <v>1023.0</v>
      </c>
    </row>
    <row r="447">
      <c r="A447" s="8">
        <v>445.0</v>
      </c>
      <c r="B447" s="8" t="s">
        <v>44</v>
      </c>
      <c r="C447" s="8" t="s">
        <v>37</v>
      </c>
      <c r="D447" s="8" t="s">
        <v>43</v>
      </c>
      <c r="E447" s="12">
        <v>45721.0</v>
      </c>
      <c r="F447" s="8">
        <v>22.09</v>
      </c>
      <c r="G447" s="8" t="s">
        <v>40</v>
      </c>
      <c r="H447" s="8" t="s">
        <v>30</v>
      </c>
      <c r="I447" s="8">
        <v>1087.0</v>
      </c>
    </row>
    <row r="448">
      <c r="A448" s="8">
        <v>446.0</v>
      </c>
      <c r="B448" s="8" t="s">
        <v>26</v>
      </c>
      <c r="C448" s="8" t="s">
        <v>27</v>
      </c>
      <c r="D448" s="8" t="s">
        <v>35</v>
      </c>
      <c r="E448" s="12">
        <v>45687.0</v>
      </c>
      <c r="F448" s="8">
        <v>81.0</v>
      </c>
      <c r="G448" s="8" t="s">
        <v>40</v>
      </c>
      <c r="H448" s="8" t="s">
        <v>41</v>
      </c>
      <c r="I448" s="8">
        <v>1001.0</v>
      </c>
    </row>
    <row r="449">
      <c r="A449" s="8">
        <v>447.0</v>
      </c>
      <c r="B449" s="8" t="s">
        <v>31</v>
      </c>
      <c r="C449" s="8" t="s">
        <v>37</v>
      </c>
      <c r="D449" s="8" t="s">
        <v>35</v>
      </c>
      <c r="E449" s="12">
        <v>45680.0</v>
      </c>
      <c r="F449" s="8">
        <v>58.94</v>
      </c>
      <c r="H449" s="8" t="s">
        <v>33</v>
      </c>
      <c r="I449" s="8">
        <v>1088.0</v>
      </c>
    </row>
    <row r="450">
      <c r="A450" s="8">
        <v>448.0</v>
      </c>
      <c r="B450" s="8" t="s">
        <v>26</v>
      </c>
      <c r="C450" s="8" t="s">
        <v>42</v>
      </c>
      <c r="D450" s="8" t="s">
        <v>32</v>
      </c>
      <c r="E450" s="12">
        <v>45678.0</v>
      </c>
      <c r="F450" s="8">
        <v>39.29</v>
      </c>
      <c r="G450" s="8" t="s">
        <v>36</v>
      </c>
      <c r="H450" s="8" t="s">
        <v>41</v>
      </c>
      <c r="I450" s="8">
        <v>1002.0</v>
      </c>
    </row>
    <row r="451">
      <c r="A451" s="8">
        <v>449.0</v>
      </c>
      <c r="B451" s="8" t="s">
        <v>38</v>
      </c>
      <c r="C451" s="8" t="s">
        <v>27</v>
      </c>
      <c r="D451" s="8" t="s">
        <v>28</v>
      </c>
      <c r="E451" s="12">
        <v>45710.0</v>
      </c>
      <c r="F451" s="8">
        <v>35.88</v>
      </c>
      <c r="H451" s="8" t="s">
        <v>30</v>
      </c>
      <c r="I451" s="8">
        <v>1057.0</v>
      </c>
    </row>
    <row r="452">
      <c r="A452" s="8">
        <v>450.0</v>
      </c>
      <c r="B452" s="8" t="s">
        <v>38</v>
      </c>
      <c r="C452" s="8" t="s">
        <v>37</v>
      </c>
      <c r="D452" s="8" t="s">
        <v>35</v>
      </c>
      <c r="E452" s="12">
        <v>45771.0</v>
      </c>
      <c r="F452" s="8">
        <v>20.92</v>
      </c>
      <c r="G452" s="8" t="s">
        <v>36</v>
      </c>
      <c r="H452" s="8" t="s">
        <v>41</v>
      </c>
      <c r="I452" s="8">
        <v>1080.0</v>
      </c>
    </row>
    <row r="453">
      <c r="A453" s="8">
        <v>451.0</v>
      </c>
      <c r="B453" s="8" t="s">
        <v>34</v>
      </c>
      <c r="C453" s="8" t="s">
        <v>45</v>
      </c>
      <c r="D453" s="8" t="s">
        <v>28</v>
      </c>
      <c r="E453" s="12">
        <v>45736.0</v>
      </c>
      <c r="F453" s="8">
        <v>67.04</v>
      </c>
      <c r="G453" s="8" t="s">
        <v>36</v>
      </c>
      <c r="H453" s="8" t="s">
        <v>30</v>
      </c>
      <c r="I453" s="8">
        <v>1082.0</v>
      </c>
    </row>
    <row r="454">
      <c r="A454" s="8">
        <v>452.0</v>
      </c>
      <c r="B454" s="8" t="s">
        <v>44</v>
      </c>
      <c r="C454" s="8" t="s">
        <v>37</v>
      </c>
      <c r="D454" s="8" t="s">
        <v>35</v>
      </c>
      <c r="E454" s="12">
        <v>45708.0</v>
      </c>
      <c r="F454" s="8">
        <v>7.19</v>
      </c>
      <c r="G454" s="8" t="s">
        <v>40</v>
      </c>
      <c r="H454" s="8" t="s">
        <v>30</v>
      </c>
      <c r="I454" s="8">
        <v>1032.0</v>
      </c>
    </row>
    <row r="455">
      <c r="A455" s="8">
        <v>453.0</v>
      </c>
      <c r="B455" s="8" t="s">
        <v>34</v>
      </c>
      <c r="C455" s="8" t="s">
        <v>27</v>
      </c>
      <c r="D455" s="8" t="s">
        <v>28</v>
      </c>
      <c r="E455" s="12">
        <v>45778.0</v>
      </c>
      <c r="F455" s="8">
        <v>94.0</v>
      </c>
      <c r="H455" s="8" t="s">
        <v>30</v>
      </c>
      <c r="I455" s="8">
        <v>1006.0</v>
      </c>
    </row>
    <row r="456">
      <c r="A456" s="8">
        <v>454.0</v>
      </c>
      <c r="B456" s="8" t="s">
        <v>38</v>
      </c>
      <c r="C456" s="8" t="s">
        <v>45</v>
      </c>
      <c r="D456" s="8" t="s">
        <v>32</v>
      </c>
      <c r="E456" s="12">
        <v>45661.0</v>
      </c>
      <c r="F456" s="8">
        <v>67.21</v>
      </c>
      <c r="H456" s="8" t="s">
        <v>41</v>
      </c>
      <c r="I456" s="8">
        <v>1029.0</v>
      </c>
    </row>
    <row r="457">
      <c r="A457" s="8">
        <v>455.0</v>
      </c>
      <c r="B457" s="8" t="s">
        <v>44</v>
      </c>
      <c r="C457" s="8" t="s">
        <v>27</v>
      </c>
      <c r="D457" s="8" t="s">
        <v>28</v>
      </c>
      <c r="E457" s="12">
        <v>45689.0</v>
      </c>
      <c r="F457" s="8">
        <v>8.34</v>
      </c>
      <c r="G457" s="8" t="s">
        <v>36</v>
      </c>
      <c r="H457" s="8" t="s">
        <v>41</v>
      </c>
      <c r="I457" s="8">
        <v>1060.0</v>
      </c>
    </row>
    <row r="458">
      <c r="A458" s="8">
        <v>456.0</v>
      </c>
      <c r="B458" s="8" t="s">
        <v>38</v>
      </c>
      <c r="C458" s="8" t="s">
        <v>37</v>
      </c>
      <c r="D458" s="8" t="s">
        <v>35</v>
      </c>
      <c r="E458" s="12">
        <v>45717.0</v>
      </c>
      <c r="F458" s="8">
        <v>56.23</v>
      </c>
      <c r="H458" s="8" t="s">
        <v>30</v>
      </c>
      <c r="I458" s="8">
        <v>1095.0</v>
      </c>
    </row>
    <row r="459">
      <c r="A459" s="8">
        <v>457.0</v>
      </c>
      <c r="B459" s="8" t="s">
        <v>44</v>
      </c>
      <c r="C459" s="8" t="s">
        <v>37</v>
      </c>
      <c r="D459" s="8" t="s">
        <v>43</v>
      </c>
      <c r="E459" s="12">
        <v>45739.0</v>
      </c>
      <c r="F459" s="8">
        <v>13.51</v>
      </c>
      <c r="G459" s="8" t="s">
        <v>36</v>
      </c>
      <c r="H459" s="8" t="s">
        <v>41</v>
      </c>
      <c r="I459" s="8">
        <v>1052.0</v>
      </c>
    </row>
    <row r="460">
      <c r="A460" s="8">
        <v>458.0</v>
      </c>
      <c r="B460" s="8" t="s">
        <v>34</v>
      </c>
      <c r="C460" s="8" t="s">
        <v>45</v>
      </c>
      <c r="D460" s="8" t="s">
        <v>28</v>
      </c>
      <c r="E460" s="12">
        <v>45691.0</v>
      </c>
      <c r="F460" s="8">
        <v>5.79</v>
      </c>
      <c r="H460" s="8" t="s">
        <v>41</v>
      </c>
      <c r="I460" s="8">
        <v>1038.0</v>
      </c>
    </row>
    <row r="461">
      <c r="A461" s="8">
        <v>459.0</v>
      </c>
      <c r="B461" s="8" t="s">
        <v>26</v>
      </c>
      <c r="C461" s="8" t="s">
        <v>27</v>
      </c>
      <c r="D461" s="8" t="s">
        <v>32</v>
      </c>
      <c r="E461" s="12">
        <v>45659.0</v>
      </c>
      <c r="F461" s="8">
        <v>88.81</v>
      </c>
      <c r="H461" s="8" t="s">
        <v>41</v>
      </c>
      <c r="I461" s="8">
        <v>1031.0</v>
      </c>
    </row>
    <row r="462">
      <c r="A462" s="8">
        <v>460.0</v>
      </c>
      <c r="B462" s="8" t="s">
        <v>44</v>
      </c>
      <c r="C462" s="8" t="s">
        <v>42</v>
      </c>
      <c r="D462" s="8" t="s">
        <v>28</v>
      </c>
      <c r="E462" s="12">
        <v>45678.0</v>
      </c>
      <c r="F462" s="8">
        <v>27.76</v>
      </c>
      <c r="G462" s="8" t="s">
        <v>36</v>
      </c>
      <c r="H462" s="8" t="s">
        <v>41</v>
      </c>
      <c r="I462" s="8">
        <v>1083.0</v>
      </c>
    </row>
    <row r="463">
      <c r="A463" s="8">
        <v>461.0</v>
      </c>
      <c r="B463" s="8" t="s">
        <v>26</v>
      </c>
      <c r="C463" s="8" t="s">
        <v>42</v>
      </c>
      <c r="D463" s="8" t="s">
        <v>28</v>
      </c>
      <c r="E463" s="12">
        <v>45753.0</v>
      </c>
      <c r="F463" s="8">
        <v>32.51</v>
      </c>
      <c r="H463" s="8" t="s">
        <v>30</v>
      </c>
      <c r="I463" s="8">
        <v>1057.0</v>
      </c>
    </row>
    <row r="464">
      <c r="A464" s="8">
        <v>462.0</v>
      </c>
      <c r="B464" s="8" t="s">
        <v>44</v>
      </c>
      <c r="C464" s="8" t="s">
        <v>27</v>
      </c>
      <c r="D464" s="8" t="s">
        <v>43</v>
      </c>
      <c r="E464" s="13">
        <v>45749.0</v>
      </c>
      <c r="F464" s="8" t="s">
        <v>39</v>
      </c>
      <c r="G464" s="8" t="s">
        <v>29</v>
      </c>
      <c r="H464" s="8" t="s">
        <v>33</v>
      </c>
      <c r="I464" s="8">
        <v>1013.0</v>
      </c>
    </row>
    <row r="465">
      <c r="A465" s="8">
        <v>463.0</v>
      </c>
      <c r="B465" s="8" t="s">
        <v>44</v>
      </c>
      <c r="C465" s="8" t="s">
        <v>45</v>
      </c>
      <c r="D465" s="8" t="s">
        <v>28</v>
      </c>
      <c r="E465" s="12">
        <v>45694.0</v>
      </c>
      <c r="F465" s="8" t="s">
        <v>39</v>
      </c>
      <c r="G465" s="8" t="s">
        <v>40</v>
      </c>
      <c r="H465" s="8" t="s">
        <v>41</v>
      </c>
      <c r="I465" s="8">
        <v>1053.0</v>
      </c>
    </row>
    <row r="466">
      <c r="A466" s="8">
        <v>464.0</v>
      </c>
      <c r="B466" s="8" t="s">
        <v>44</v>
      </c>
      <c r="C466" s="8" t="s">
        <v>37</v>
      </c>
      <c r="D466" s="8" t="s">
        <v>35</v>
      </c>
      <c r="E466" s="12">
        <v>45697.0</v>
      </c>
      <c r="F466" s="8" t="s">
        <v>39</v>
      </c>
      <c r="G466" s="8" t="s">
        <v>29</v>
      </c>
      <c r="H466" s="8" t="s">
        <v>33</v>
      </c>
      <c r="I466" s="8">
        <v>1007.0</v>
      </c>
    </row>
    <row r="467">
      <c r="A467" s="8">
        <v>465.0</v>
      </c>
      <c r="B467" s="8" t="s">
        <v>34</v>
      </c>
      <c r="C467" s="8" t="s">
        <v>42</v>
      </c>
      <c r="D467" s="8" t="s">
        <v>28</v>
      </c>
      <c r="E467" s="12">
        <v>45692.0</v>
      </c>
      <c r="F467" s="8">
        <v>82.64</v>
      </c>
      <c r="G467" s="8" t="s">
        <v>29</v>
      </c>
      <c r="H467" s="8" t="s">
        <v>33</v>
      </c>
      <c r="I467" s="8">
        <v>1098.0</v>
      </c>
    </row>
    <row r="468">
      <c r="A468" s="8">
        <v>466.0</v>
      </c>
      <c r="B468" s="8" t="s">
        <v>44</v>
      </c>
      <c r="C468" s="8" t="s">
        <v>27</v>
      </c>
      <c r="D468" s="8" t="s">
        <v>32</v>
      </c>
      <c r="E468" s="12">
        <v>45749.0</v>
      </c>
      <c r="F468" s="8">
        <v>13.93</v>
      </c>
      <c r="G468" s="8" t="s">
        <v>40</v>
      </c>
      <c r="H468" s="8" t="s">
        <v>41</v>
      </c>
      <c r="I468" s="8">
        <v>1049.0</v>
      </c>
    </row>
    <row r="469">
      <c r="A469" s="8">
        <v>467.0</v>
      </c>
      <c r="B469" s="8" t="s">
        <v>26</v>
      </c>
      <c r="C469" s="8" t="s">
        <v>27</v>
      </c>
      <c r="D469" s="8" t="s">
        <v>32</v>
      </c>
      <c r="E469" s="12">
        <v>45745.0</v>
      </c>
      <c r="F469" s="8">
        <v>16.6</v>
      </c>
      <c r="H469" s="8" t="s">
        <v>30</v>
      </c>
      <c r="I469" s="8">
        <v>1038.0</v>
      </c>
    </row>
    <row r="470">
      <c r="A470" s="8">
        <v>468.0</v>
      </c>
      <c r="B470" s="8" t="s">
        <v>34</v>
      </c>
      <c r="C470" s="8" t="s">
        <v>27</v>
      </c>
      <c r="D470" s="8" t="s">
        <v>32</v>
      </c>
      <c r="E470" s="12">
        <v>45683.0</v>
      </c>
      <c r="F470" s="8">
        <v>6.43</v>
      </c>
      <c r="G470" s="8" t="s">
        <v>36</v>
      </c>
      <c r="H470" s="8" t="s">
        <v>30</v>
      </c>
      <c r="I470" s="8">
        <v>1015.0</v>
      </c>
    </row>
    <row r="471">
      <c r="A471" s="8">
        <v>469.0</v>
      </c>
      <c r="B471" s="8" t="s">
        <v>34</v>
      </c>
      <c r="C471" s="8" t="s">
        <v>45</v>
      </c>
      <c r="D471" s="8" t="s">
        <v>35</v>
      </c>
      <c r="E471" s="12">
        <v>45708.0</v>
      </c>
      <c r="F471" s="8">
        <v>78.23</v>
      </c>
      <c r="G471" s="8" t="s">
        <v>40</v>
      </c>
      <c r="H471" s="8" t="s">
        <v>33</v>
      </c>
      <c r="I471" s="8">
        <v>1063.0</v>
      </c>
    </row>
    <row r="472">
      <c r="A472" s="8">
        <v>470.0</v>
      </c>
      <c r="B472" s="8" t="s">
        <v>26</v>
      </c>
      <c r="C472" s="8" t="s">
        <v>45</v>
      </c>
      <c r="D472" s="8" t="s">
        <v>32</v>
      </c>
      <c r="E472" s="12">
        <v>45669.0</v>
      </c>
      <c r="F472" s="8">
        <v>55.95</v>
      </c>
      <c r="G472" s="8" t="s">
        <v>29</v>
      </c>
      <c r="H472" s="8" t="s">
        <v>33</v>
      </c>
      <c r="I472" s="8">
        <v>1062.0</v>
      </c>
    </row>
    <row r="473">
      <c r="A473" s="8">
        <v>471.0</v>
      </c>
      <c r="B473" s="8" t="s">
        <v>38</v>
      </c>
      <c r="C473" s="8" t="s">
        <v>37</v>
      </c>
      <c r="D473" s="8" t="s">
        <v>35</v>
      </c>
      <c r="E473" s="12">
        <v>45687.0</v>
      </c>
      <c r="F473" s="8" t="s">
        <v>39</v>
      </c>
      <c r="H473" s="8" t="s">
        <v>41</v>
      </c>
      <c r="I473" s="8">
        <v>1092.0</v>
      </c>
    </row>
    <row r="474">
      <c r="A474" s="8">
        <v>472.0</v>
      </c>
      <c r="B474" s="8" t="s">
        <v>34</v>
      </c>
      <c r="C474" s="8" t="s">
        <v>42</v>
      </c>
      <c r="D474" s="8" t="s">
        <v>35</v>
      </c>
      <c r="E474" s="12">
        <v>45675.0</v>
      </c>
      <c r="F474" s="8">
        <v>51.56</v>
      </c>
      <c r="G474" s="8" t="s">
        <v>40</v>
      </c>
      <c r="H474" s="8" t="s">
        <v>30</v>
      </c>
      <c r="I474" s="8">
        <v>1044.0</v>
      </c>
    </row>
    <row r="475">
      <c r="A475" s="8">
        <v>473.0</v>
      </c>
      <c r="B475" s="8" t="s">
        <v>26</v>
      </c>
      <c r="C475" s="8" t="s">
        <v>27</v>
      </c>
      <c r="D475" s="8" t="s">
        <v>32</v>
      </c>
      <c r="E475" s="12">
        <v>45699.0</v>
      </c>
      <c r="F475" s="8">
        <v>82.84</v>
      </c>
      <c r="G475" s="8" t="s">
        <v>36</v>
      </c>
      <c r="H475" s="8" t="s">
        <v>41</v>
      </c>
      <c r="I475" s="8">
        <v>1000.0</v>
      </c>
    </row>
    <row r="476">
      <c r="A476" s="8">
        <v>474.0</v>
      </c>
      <c r="B476" s="8" t="s">
        <v>44</v>
      </c>
      <c r="C476" s="8" t="s">
        <v>27</v>
      </c>
      <c r="D476" s="8" t="s">
        <v>32</v>
      </c>
      <c r="E476" s="12">
        <v>45757.0</v>
      </c>
      <c r="F476" s="8">
        <v>63.92</v>
      </c>
      <c r="G476" s="8" t="s">
        <v>36</v>
      </c>
      <c r="H476" s="8" t="s">
        <v>30</v>
      </c>
      <c r="I476" s="8">
        <v>1008.0</v>
      </c>
    </row>
    <row r="477">
      <c r="A477" s="8">
        <v>475.0</v>
      </c>
      <c r="B477" s="8" t="s">
        <v>44</v>
      </c>
      <c r="C477" s="8" t="s">
        <v>27</v>
      </c>
      <c r="D477" s="8" t="s">
        <v>35</v>
      </c>
      <c r="E477" s="12">
        <v>45742.0</v>
      </c>
      <c r="F477" s="8">
        <v>31.9</v>
      </c>
      <c r="H477" s="8" t="s">
        <v>30</v>
      </c>
      <c r="I477" s="8">
        <v>1041.0</v>
      </c>
    </row>
    <row r="478">
      <c r="A478" s="8">
        <v>476.0</v>
      </c>
      <c r="B478" s="8" t="s">
        <v>34</v>
      </c>
      <c r="C478" s="8" t="s">
        <v>45</v>
      </c>
      <c r="D478" s="8" t="s">
        <v>28</v>
      </c>
      <c r="E478" s="12">
        <v>45672.0</v>
      </c>
      <c r="F478" s="8" t="s">
        <v>39</v>
      </c>
      <c r="G478" s="8" t="s">
        <v>29</v>
      </c>
      <c r="H478" s="8" t="s">
        <v>41</v>
      </c>
      <c r="I478" s="8">
        <v>1024.0</v>
      </c>
    </row>
    <row r="479">
      <c r="A479" s="8">
        <v>477.0</v>
      </c>
      <c r="B479" s="8" t="s">
        <v>44</v>
      </c>
      <c r="C479" s="8" t="s">
        <v>42</v>
      </c>
      <c r="D479" s="8" t="s">
        <v>43</v>
      </c>
      <c r="E479" s="12">
        <v>45670.0</v>
      </c>
      <c r="F479" s="8">
        <v>73.2</v>
      </c>
      <c r="G479" s="8" t="s">
        <v>29</v>
      </c>
      <c r="H479" s="8" t="s">
        <v>33</v>
      </c>
      <c r="I479" s="8">
        <v>1083.0</v>
      </c>
    </row>
    <row r="480">
      <c r="A480" s="8">
        <v>478.0</v>
      </c>
      <c r="B480" s="8" t="s">
        <v>34</v>
      </c>
      <c r="C480" s="8" t="s">
        <v>42</v>
      </c>
      <c r="D480" s="8" t="s">
        <v>32</v>
      </c>
      <c r="E480" s="12">
        <v>45720.0</v>
      </c>
      <c r="F480" s="8">
        <v>89.59</v>
      </c>
      <c r="G480" s="8" t="s">
        <v>36</v>
      </c>
      <c r="H480" s="8" t="s">
        <v>30</v>
      </c>
      <c r="I480" s="8">
        <v>1007.0</v>
      </c>
    </row>
    <row r="481">
      <c r="A481" s="8">
        <v>479.0</v>
      </c>
      <c r="B481" s="8" t="s">
        <v>38</v>
      </c>
      <c r="C481" s="8" t="s">
        <v>45</v>
      </c>
      <c r="D481" s="8" t="s">
        <v>32</v>
      </c>
      <c r="E481" s="12">
        <v>45763.0</v>
      </c>
      <c r="F481" s="8">
        <v>25.51</v>
      </c>
      <c r="G481" s="8" t="s">
        <v>29</v>
      </c>
      <c r="H481" s="8" t="s">
        <v>33</v>
      </c>
      <c r="I481" s="8">
        <v>1092.0</v>
      </c>
    </row>
    <row r="482">
      <c r="A482" s="8">
        <v>480.0</v>
      </c>
      <c r="B482" s="8" t="s">
        <v>31</v>
      </c>
      <c r="C482" s="8" t="s">
        <v>27</v>
      </c>
      <c r="D482" s="8" t="s">
        <v>28</v>
      </c>
      <c r="E482" s="12">
        <v>45687.0</v>
      </c>
      <c r="F482" s="8">
        <v>58.05</v>
      </c>
      <c r="H482" s="8" t="s">
        <v>30</v>
      </c>
      <c r="I482" s="8">
        <v>1013.0</v>
      </c>
    </row>
    <row r="483">
      <c r="A483" s="8">
        <v>481.0</v>
      </c>
      <c r="B483" s="8" t="s">
        <v>26</v>
      </c>
      <c r="C483" s="8" t="s">
        <v>42</v>
      </c>
      <c r="D483" s="8" t="s">
        <v>35</v>
      </c>
      <c r="E483" s="12">
        <v>45756.0</v>
      </c>
      <c r="F483" s="8">
        <v>22.14</v>
      </c>
      <c r="H483" s="8" t="s">
        <v>30</v>
      </c>
      <c r="I483" s="8">
        <v>1043.0</v>
      </c>
    </row>
    <row r="484">
      <c r="A484" s="8">
        <v>482.0</v>
      </c>
      <c r="B484" s="8" t="s">
        <v>38</v>
      </c>
      <c r="C484" s="8" t="s">
        <v>42</v>
      </c>
      <c r="D484" s="8" t="s">
        <v>43</v>
      </c>
      <c r="E484" s="12">
        <v>45742.0</v>
      </c>
      <c r="F484" s="8">
        <v>99.7</v>
      </c>
      <c r="G484" s="8" t="s">
        <v>36</v>
      </c>
      <c r="H484" s="8" t="s">
        <v>41</v>
      </c>
      <c r="I484" s="8">
        <v>1097.0</v>
      </c>
    </row>
    <row r="485">
      <c r="A485" s="8">
        <v>483.0</v>
      </c>
      <c r="B485" s="8" t="s">
        <v>26</v>
      </c>
      <c r="C485" s="8" t="s">
        <v>27</v>
      </c>
      <c r="D485" s="8" t="s">
        <v>28</v>
      </c>
      <c r="E485" s="12">
        <v>45739.0</v>
      </c>
      <c r="F485" s="8">
        <v>75.73</v>
      </c>
      <c r="G485" s="8" t="s">
        <v>36</v>
      </c>
      <c r="H485" s="8" t="s">
        <v>41</v>
      </c>
      <c r="I485" s="8">
        <v>1057.0</v>
      </c>
    </row>
    <row r="486">
      <c r="B486" s="8" t="s">
        <v>34</v>
      </c>
      <c r="C486" s="8" t="s">
        <v>37</v>
      </c>
      <c r="D486" s="8" t="s">
        <v>32</v>
      </c>
      <c r="E486" s="12">
        <v>45708.0</v>
      </c>
      <c r="F486" s="8">
        <v>33.67</v>
      </c>
      <c r="G486" s="8" t="s">
        <v>36</v>
      </c>
      <c r="H486" s="8" t="s">
        <v>33</v>
      </c>
      <c r="I486" s="8">
        <v>1027.0</v>
      </c>
    </row>
    <row r="487">
      <c r="A487" s="8">
        <v>485.0</v>
      </c>
      <c r="B487" s="8" t="s">
        <v>26</v>
      </c>
      <c r="C487" s="8" t="s">
        <v>27</v>
      </c>
      <c r="D487" s="8" t="s">
        <v>32</v>
      </c>
      <c r="E487" s="12">
        <v>45767.0</v>
      </c>
      <c r="F487" s="8">
        <v>18.15</v>
      </c>
      <c r="G487" s="8" t="s">
        <v>36</v>
      </c>
      <c r="H487" s="8" t="s">
        <v>30</v>
      </c>
      <c r="I487" s="8">
        <v>1031.0</v>
      </c>
    </row>
    <row r="488">
      <c r="A488" s="8">
        <v>486.0</v>
      </c>
      <c r="B488" s="8" t="s">
        <v>26</v>
      </c>
      <c r="C488" s="8" t="s">
        <v>45</v>
      </c>
      <c r="D488" s="8" t="s">
        <v>35</v>
      </c>
      <c r="E488" s="12">
        <v>45687.0</v>
      </c>
      <c r="F488" s="8">
        <v>12.33</v>
      </c>
      <c r="G488" s="8" t="s">
        <v>36</v>
      </c>
      <c r="H488" s="8" t="s">
        <v>41</v>
      </c>
      <c r="I488" s="8">
        <v>1022.0</v>
      </c>
    </row>
    <row r="489">
      <c r="A489" s="8">
        <v>487.0</v>
      </c>
      <c r="B489" s="8" t="s">
        <v>38</v>
      </c>
      <c r="C489" s="8" t="s">
        <v>45</v>
      </c>
      <c r="D489" s="8" t="s">
        <v>43</v>
      </c>
      <c r="E489" s="12">
        <v>45720.0</v>
      </c>
      <c r="F489" s="8">
        <v>41.25</v>
      </c>
      <c r="G489" s="8" t="s">
        <v>29</v>
      </c>
      <c r="H489" s="8" t="s">
        <v>41</v>
      </c>
      <c r="I489" s="8">
        <v>1044.0</v>
      </c>
    </row>
    <row r="490">
      <c r="A490" s="8">
        <v>488.0</v>
      </c>
      <c r="B490" s="8" t="s">
        <v>44</v>
      </c>
      <c r="C490" s="8" t="s">
        <v>45</v>
      </c>
      <c r="D490" s="8" t="s">
        <v>28</v>
      </c>
      <c r="E490" s="12">
        <v>45770.0</v>
      </c>
      <c r="F490" s="8">
        <v>93.22</v>
      </c>
      <c r="H490" s="8" t="s">
        <v>33</v>
      </c>
      <c r="I490" s="8">
        <v>1039.0</v>
      </c>
    </row>
    <row r="491">
      <c r="A491" s="8">
        <v>489.0</v>
      </c>
      <c r="B491" s="8" t="s">
        <v>38</v>
      </c>
      <c r="C491" s="8" t="s">
        <v>27</v>
      </c>
      <c r="D491" s="8" t="s">
        <v>43</v>
      </c>
      <c r="E491" s="12">
        <v>45725.0</v>
      </c>
      <c r="F491" s="8">
        <v>9.8</v>
      </c>
      <c r="H491" s="8" t="s">
        <v>41</v>
      </c>
      <c r="I491" s="8">
        <v>1096.0</v>
      </c>
    </row>
    <row r="492">
      <c r="A492" s="8">
        <v>490.0</v>
      </c>
      <c r="B492" s="8" t="s">
        <v>34</v>
      </c>
      <c r="C492" s="8" t="s">
        <v>27</v>
      </c>
      <c r="D492" s="8" t="s">
        <v>35</v>
      </c>
      <c r="E492" s="12">
        <v>45734.0</v>
      </c>
      <c r="F492" s="8">
        <v>17.56</v>
      </c>
      <c r="G492" s="8" t="s">
        <v>29</v>
      </c>
      <c r="H492" s="8" t="s">
        <v>41</v>
      </c>
      <c r="I492" s="8">
        <v>1073.0</v>
      </c>
    </row>
    <row r="493">
      <c r="A493" s="8">
        <v>491.0</v>
      </c>
      <c r="B493" s="8" t="s">
        <v>44</v>
      </c>
      <c r="C493" s="8" t="s">
        <v>37</v>
      </c>
      <c r="D493" s="8" t="s">
        <v>32</v>
      </c>
      <c r="E493" s="12">
        <v>45753.0</v>
      </c>
      <c r="F493" s="8">
        <v>71.3</v>
      </c>
      <c r="G493" s="8" t="s">
        <v>40</v>
      </c>
      <c r="H493" s="8" t="s">
        <v>41</v>
      </c>
      <c r="I493" s="8">
        <v>1071.0</v>
      </c>
    </row>
    <row r="494">
      <c r="A494" s="8">
        <v>492.0</v>
      </c>
      <c r="B494" s="8" t="s">
        <v>38</v>
      </c>
      <c r="C494" s="8" t="s">
        <v>27</v>
      </c>
      <c r="D494" s="8" t="s">
        <v>28</v>
      </c>
      <c r="E494" s="12">
        <v>45683.0</v>
      </c>
      <c r="F494" s="8">
        <v>45.86</v>
      </c>
      <c r="G494" s="8" t="s">
        <v>29</v>
      </c>
      <c r="H494" s="8" t="s">
        <v>33</v>
      </c>
      <c r="I494" s="8">
        <v>1085.0</v>
      </c>
    </row>
    <row r="495">
      <c r="A495" s="8">
        <v>493.0</v>
      </c>
      <c r="B495" s="8" t="s">
        <v>26</v>
      </c>
      <c r="C495" s="8" t="s">
        <v>27</v>
      </c>
      <c r="D495" s="8" t="s">
        <v>43</v>
      </c>
      <c r="E495" s="12">
        <v>45710.0</v>
      </c>
      <c r="F495" s="8">
        <v>78.12</v>
      </c>
      <c r="G495" s="8" t="s">
        <v>40</v>
      </c>
      <c r="H495" s="8" t="s">
        <v>41</v>
      </c>
      <c r="I495" s="8">
        <v>1078.0</v>
      </c>
    </row>
    <row r="496">
      <c r="A496" s="8">
        <v>494.0</v>
      </c>
      <c r="B496" s="8" t="s">
        <v>44</v>
      </c>
      <c r="C496" s="8" t="s">
        <v>27</v>
      </c>
      <c r="D496" s="8" t="s">
        <v>35</v>
      </c>
      <c r="E496" s="12">
        <v>45763.0</v>
      </c>
      <c r="F496" s="8">
        <v>23.97</v>
      </c>
      <c r="G496" s="8" t="s">
        <v>36</v>
      </c>
      <c r="H496" s="8" t="s">
        <v>33</v>
      </c>
      <c r="I496" s="8">
        <v>1096.0</v>
      </c>
    </row>
    <row r="497">
      <c r="A497" s="8">
        <v>495.0</v>
      </c>
      <c r="B497" s="8" t="s">
        <v>34</v>
      </c>
      <c r="C497" s="8" t="s">
        <v>45</v>
      </c>
      <c r="D497" s="8" t="s">
        <v>28</v>
      </c>
      <c r="E497" s="12">
        <v>45751.0</v>
      </c>
      <c r="F497" s="8">
        <v>87.53</v>
      </c>
      <c r="G497" s="8" t="s">
        <v>36</v>
      </c>
      <c r="H497" s="8" t="s">
        <v>33</v>
      </c>
      <c r="I497" s="8">
        <v>1043.0</v>
      </c>
    </row>
    <row r="498">
      <c r="A498" s="8">
        <v>496.0</v>
      </c>
      <c r="B498" s="8" t="s">
        <v>26</v>
      </c>
      <c r="C498" s="8" t="s">
        <v>42</v>
      </c>
      <c r="D498" s="8" t="s">
        <v>35</v>
      </c>
      <c r="E498" s="8" t="s">
        <v>52</v>
      </c>
      <c r="F498" s="8">
        <v>56.11</v>
      </c>
      <c r="G498" s="8" t="s">
        <v>40</v>
      </c>
      <c r="H498" s="8" t="s">
        <v>30</v>
      </c>
      <c r="I498" s="8">
        <v>1066.0</v>
      </c>
    </row>
    <row r="499">
      <c r="A499" s="8">
        <v>497.0</v>
      </c>
      <c r="B499" s="8" t="s">
        <v>44</v>
      </c>
      <c r="C499" s="8" t="s">
        <v>27</v>
      </c>
      <c r="D499" s="8" t="s">
        <v>32</v>
      </c>
      <c r="E499" s="12">
        <v>45754.0</v>
      </c>
      <c r="F499" s="8">
        <v>55.05</v>
      </c>
      <c r="G499" s="8" t="s">
        <v>36</v>
      </c>
      <c r="H499" s="8" t="s">
        <v>33</v>
      </c>
      <c r="I499" s="8">
        <v>1007.0</v>
      </c>
    </row>
    <row r="500">
      <c r="A500" s="8">
        <v>498.0</v>
      </c>
      <c r="B500" s="8" t="s">
        <v>38</v>
      </c>
      <c r="C500" s="8" t="s">
        <v>37</v>
      </c>
      <c r="D500" s="8" t="s">
        <v>32</v>
      </c>
      <c r="E500" s="12">
        <v>45694.0</v>
      </c>
      <c r="F500" s="8">
        <v>11.33</v>
      </c>
      <c r="G500" s="8" t="s">
        <v>36</v>
      </c>
      <c r="H500" s="8" t="s">
        <v>30</v>
      </c>
      <c r="I500" s="8">
        <v>1084.0</v>
      </c>
    </row>
    <row r="501">
      <c r="A501" s="8">
        <v>499.0</v>
      </c>
      <c r="B501" s="8" t="s">
        <v>34</v>
      </c>
      <c r="C501" s="8" t="s">
        <v>37</v>
      </c>
      <c r="D501" s="8" t="s">
        <v>35</v>
      </c>
      <c r="E501" s="12">
        <v>45704.0</v>
      </c>
      <c r="F501" s="8">
        <v>97.78</v>
      </c>
      <c r="G501" s="8" t="s">
        <v>29</v>
      </c>
      <c r="H501" s="8" t="s">
        <v>41</v>
      </c>
      <c r="I501" s="8">
        <v>1062.0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5" t="s">
        <v>22</v>
      </c>
      <c r="F1" s="14" t="s">
        <v>23</v>
      </c>
      <c r="G1" s="14" t="s">
        <v>24</v>
      </c>
      <c r="H1" s="14" t="s">
        <v>25</v>
      </c>
      <c r="I1" s="14" t="s">
        <v>0</v>
      </c>
      <c r="J1" s="14" t="s">
        <v>53</v>
      </c>
      <c r="K1" s="14" t="s">
        <v>54</v>
      </c>
      <c r="L1" s="14" t="s">
        <v>55</v>
      </c>
    </row>
    <row r="2">
      <c r="A2" s="8">
        <v>0.0</v>
      </c>
      <c r="B2" s="8" t="s">
        <v>26</v>
      </c>
      <c r="C2" s="16" t="s">
        <v>56</v>
      </c>
      <c r="D2" s="8" t="s">
        <v>28</v>
      </c>
      <c r="E2" s="17">
        <v>45739.0</v>
      </c>
      <c r="F2" s="16">
        <v>75.36</v>
      </c>
      <c r="G2" s="8" t="s">
        <v>29</v>
      </c>
      <c r="H2" s="8" t="s">
        <v>30</v>
      </c>
      <c r="I2" s="8">
        <v>1054.0</v>
      </c>
      <c r="J2" s="4" t="str">
        <f t="shared" ref="J2:J489" si="1">IFERROR(VLOOKUP(C2,$N$11:$O$19,2,0),C2)</f>
        <v>Czech Republic</v>
      </c>
      <c r="K2" s="4" t="str">
        <f t="shared" ref="K2:K489" si="2">IFERROR(VLOOKUP(C2,$N$11:$P$19,3,0),D2)</f>
        <v>Prague</v>
      </c>
      <c r="L2" s="4" t="b">
        <f t="array" ref="L2:L489">K2:K489=D2:D489</f>
        <v>1</v>
      </c>
      <c r="N2" s="8" t="s">
        <v>57</v>
      </c>
    </row>
    <row r="3">
      <c r="A3" s="8">
        <v>1.0</v>
      </c>
      <c r="B3" s="8" t="s">
        <v>31</v>
      </c>
      <c r="C3" s="8" t="s">
        <v>27</v>
      </c>
      <c r="D3" s="8" t="s">
        <v>32</v>
      </c>
      <c r="E3" s="17">
        <v>45662.0</v>
      </c>
      <c r="F3" s="16">
        <v>71.63</v>
      </c>
      <c r="G3" s="8" t="s">
        <v>58</v>
      </c>
      <c r="H3" s="8" t="s">
        <v>33</v>
      </c>
      <c r="I3" s="8">
        <v>1057.0</v>
      </c>
      <c r="J3" s="4" t="str">
        <f t="shared" si="1"/>
        <v>Czech Republic</v>
      </c>
      <c r="K3" s="4" t="str">
        <f t="shared" si="2"/>
        <v>Prague</v>
      </c>
      <c r="L3" s="4" t="b">
        <v>0</v>
      </c>
      <c r="N3" s="8" t="s">
        <v>59</v>
      </c>
    </row>
    <row r="4">
      <c r="A4" s="8">
        <v>2.0</v>
      </c>
      <c r="B4" s="8" t="s">
        <v>34</v>
      </c>
      <c r="C4" s="16" t="s">
        <v>56</v>
      </c>
      <c r="D4" s="8" t="s">
        <v>35</v>
      </c>
      <c r="E4" s="17">
        <v>45733.0</v>
      </c>
      <c r="F4" s="16">
        <v>95.94</v>
      </c>
      <c r="G4" s="8" t="s">
        <v>36</v>
      </c>
      <c r="H4" s="8" t="s">
        <v>33</v>
      </c>
      <c r="I4" s="8">
        <v>1011.0</v>
      </c>
      <c r="J4" s="4" t="str">
        <f t="shared" si="1"/>
        <v>Czech Republic</v>
      </c>
      <c r="K4" s="4" t="str">
        <f t="shared" si="2"/>
        <v>Prague</v>
      </c>
      <c r="L4" s="4" t="b">
        <v>0</v>
      </c>
      <c r="N4" s="8" t="s">
        <v>60</v>
      </c>
    </row>
    <row r="5">
      <c r="A5" s="8">
        <v>3.0</v>
      </c>
      <c r="B5" s="8" t="s">
        <v>26</v>
      </c>
      <c r="C5" s="16" t="s">
        <v>61</v>
      </c>
      <c r="D5" s="8" t="s">
        <v>32</v>
      </c>
      <c r="E5" s="17">
        <v>45706.0</v>
      </c>
      <c r="F5" s="16">
        <v>97.45</v>
      </c>
      <c r="G5" s="8" t="s">
        <v>58</v>
      </c>
      <c r="H5" s="8" t="s">
        <v>33</v>
      </c>
      <c r="I5" s="8">
        <v>1070.0</v>
      </c>
      <c r="J5" s="4" t="str">
        <f t="shared" si="1"/>
        <v>Ukraine</v>
      </c>
      <c r="K5" s="4" t="str">
        <f t="shared" si="2"/>
        <v>Kyiv</v>
      </c>
      <c r="L5" s="4" t="b">
        <v>0</v>
      </c>
      <c r="N5" s="8" t="s">
        <v>62</v>
      </c>
    </row>
    <row r="6">
      <c r="A6" s="8">
        <v>4.0</v>
      </c>
      <c r="B6" s="8" t="s">
        <v>38</v>
      </c>
      <c r="C6" s="8" t="s">
        <v>37</v>
      </c>
      <c r="D6" s="8" t="s">
        <v>28</v>
      </c>
      <c r="E6" s="17">
        <v>45695.0</v>
      </c>
      <c r="F6" s="16"/>
      <c r="G6" s="8" t="s">
        <v>40</v>
      </c>
      <c r="H6" s="8" t="s">
        <v>41</v>
      </c>
      <c r="I6" s="8">
        <v>1010.0</v>
      </c>
      <c r="J6" s="4" t="str">
        <f t="shared" si="1"/>
        <v>Ukraine</v>
      </c>
      <c r="K6" s="4" t="str">
        <f t="shared" si="2"/>
        <v>Kyiv</v>
      </c>
      <c r="L6" s="4" t="b">
        <v>0</v>
      </c>
    </row>
    <row r="7">
      <c r="A7" s="8">
        <v>5.0</v>
      </c>
      <c r="B7" s="8" t="s">
        <v>34</v>
      </c>
      <c r="C7" s="8" t="s">
        <v>42</v>
      </c>
      <c r="D7" s="8" t="s">
        <v>43</v>
      </c>
      <c r="E7" s="17">
        <v>45767.0</v>
      </c>
      <c r="F7" s="16">
        <v>20.45</v>
      </c>
      <c r="G7" s="8" t="s">
        <v>36</v>
      </c>
      <c r="H7" s="8" t="s">
        <v>33</v>
      </c>
      <c r="I7" s="8">
        <v>1085.0</v>
      </c>
      <c r="J7" s="4" t="str">
        <f t="shared" si="1"/>
        <v>Germany</v>
      </c>
      <c r="K7" s="4" t="str">
        <f t="shared" si="2"/>
        <v>Berlin</v>
      </c>
      <c r="L7" s="4" t="b">
        <v>0</v>
      </c>
    </row>
    <row r="8">
      <c r="A8" s="8">
        <v>6.0</v>
      </c>
      <c r="B8" s="8" t="s">
        <v>34</v>
      </c>
      <c r="C8" s="8" t="s">
        <v>27</v>
      </c>
      <c r="D8" s="8" t="s">
        <v>28</v>
      </c>
      <c r="E8" s="17">
        <v>45692.0</v>
      </c>
      <c r="F8" s="16">
        <v>99.0</v>
      </c>
      <c r="G8" s="8" t="s">
        <v>40</v>
      </c>
      <c r="H8" s="8" t="s">
        <v>30</v>
      </c>
      <c r="I8" s="8">
        <v>1041.0</v>
      </c>
      <c r="J8" s="4" t="str">
        <f t="shared" si="1"/>
        <v>Czech Republic</v>
      </c>
      <c r="K8" s="4" t="str">
        <f t="shared" si="2"/>
        <v>Prague</v>
      </c>
      <c r="L8" s="4" t="b">
        <v>1</v>
      </c>
    </row>
    <row r="9">
      <c r="A9" s="8">
        <v>7.0</v>
      </c>
      <c r="B9" s="8" t="s">
        <v>34</v>
      </c>
      <c r="C9" s="8" t="s">
        <v>27</v>
      </c>
      <c r="D9" s="8" t="s">
        <v>32</v>
      </c>
      <c r="E9" s="17">
        <v>45765.0</v>
      </c>
      <c r="F9" s="16">
        <v>11.29</v>
      </c>
      <c r="G9" s="8" t="s">
        <v>36</v>
      </c>
      <c r="H9" s="8" t="s">
        <v>33</v>
      </c>
      <c r="I9" s="8">
        <v>1083.0</v>
      </c>
      <c r="J9" s="4" t="str">
        <f t="shared" si="1"/>
        <v>Czech Republic</v>
      </c>
      <c r="K9" s="4" t="str">
        <f t="shared" si="2"/>
        <v>Prague</v>
      </c>
      <c r="L9" s="4" t="b">
        <v>0</v>
      </c>
      <c r="N9" s="8" t="s">
        <v>63</v>
      </c>
    </row>
    <row r="10">
      <c r="A10" s="8">
        <v>8.0</v>
      </c>
      <c r="B10" s="8" t="s">
        <v>44</v>
      </c>
      <c r="C10" s="8" t="s">
        <v>27</v>
      </c>
      <c r="D10" s="8" t="s">
        <v>43</v>
      </c>
      <c r="E10" s="17">
        <v>45721.0</v>
      </c>
      <c r="F10" s="16">
        <v>56.2</v>
      </c>
      <c r="G10" s="8" t="s">
        <v>58</v>
      </c>
      <c r="H10" s="8" t="s">
        <v>30</v>
      </c>
      <c r="I10" s="8">
        <v>1051.0</v>
      </c>
      <c r="J10" s="4" t="str">
        <f t="shared" si="1"/>
        <v>Czech Republic</v>
      </c>
      <c r="K10" s="4" t="str">
        <f t="shared" si="2"/>
        <v>Prague</v>
      </c>
      <c r="L10" s="4" t="b">
        <v>0</v>
      </c>
      <c r="N10" s="18" t="s">
        <v>64</v>
      </c>
      <c r="O10" s="18" t="s">
        <v>65</v>
      </c>
      <c r="P10" s="18" t="s">
        <v>66</v>
      </c>
    </row>
    <row r="11">
      <c r="A11" s="8">
        <v>9.0</v>
      </c>
      <c r="B11" s="8" t="s">
        <v>31</v>
      </c>
      <c r="C11" s="8" t="s">
        <v>42</v>
      </c>
      <c r="D11" s="8" t="s">
        <v>32</v>
      </c>
      <c r="E11" s="17">
        <v>45704.0</v>
      </c>
      <c r="F11" s="16">
        <v>19.52</v>
      </c>
      <c r="G11" s="8" t="s">
        <v>40</v>
      </c>
      <c r="H11" s="8" t="s">
        <v>30</v>
      </c>
      <c r="I11" s="8">
        <v>1054.0</v>
      </c>
      <c r="J11" s="4" t="str">
        <f t="shared" si="1"/>
        <v>Germany</v>
      </c>
      <c r="K11" s="4" t="str">
        <f t="shared" si="2"/>
        <v>Berlin</v>
      </c>
      <c r="L11" s="4" t="b">
        <v>0</v>
      </c>
      <c r="N11" s="19" t="str">
        <f t="array" ref="N11:N19">UNIQUE(C2:C489)</f>
        <v>Czech Rep.</v>
      </c>
      <c r="O11" s="19" t="s">
        <v>27</v>
      </c>
      <c r="P11" s="20" t="s">
        <v>28</v>
      </c>
    </row>
    <row r="12">
      <c r="A12" s="8">
        <v>10.0</v>
      </c>
      <c r="B12" s="8" t="s">
        <v>44</v>
      </c>
      <c r="C12" s="8" t="s">
        <v>42</v>
      </c>
      <c r="D12" s="8" t="s">
        <v>43</v>
      </c>
      <c r="E12" s="17">
        <v>45734.0</v>
      </c>
      <c r="F12" s="16">
        <v>6.09</v>
      </c>
      <c r="G12" s="8" t="s">
        <v>29</v>
      </c>
      <c r="H12" s="8" t="s">
        <v>30</v>
      </c>
      <c r="I12" s="8">
        <v>1068.0</v>
      </c>
      <c r="J12" s="4" t="str">
        <f t="shared" si="1"/>
        <v>Germany</v>
      </c>
      <c r="K12" s="4" t="str">
        <f t="shared" si="2"/>
        <v>Berlin</v>
      </c>
      <c r="L12" s="4" t="b">
        <v>0</v>
      </c>
      <c r="N12" s="19" t="s">
        <v>27</v>
      </c>
      <c r="O12" s="19" t="s">
        <v>27</v>
      </c>
      <c r="P12" s="20" t="s">
        <v>28</v>
      </c>
    </row>
    <row r="13">
      <c r="A13" s="8">
        <v>11.0</v>
      </c>
      <c r="B13" s="8" t="s">
        <v>26</v>
      </c>
      <c r="C13" s="8" t="s">
        <v>45</v>
      </c>
      <c r="D13" s="8" t="s">
        <v>43</v>
      </c>
      <c r="E13" s="17">
        <v>45754.0</v>
      </c>
      <c r="F13" s="16">
        <v>95.61</v>
      </c>
      <c r="G13" s="8" t="s">
        <v>36</v>
      </c>
      <c r="H13" s="8" t="s">
        <v>30</v>
      </c>
      <c r="I13" s="8">
        <v>1097.0</v>
      </c>
      <c r="J13" s="4" t="str">
        <f t="shared" si="1"/>
        <v>Poland</v>
      </c>
      <c r="K13" s="4" t="str">
        <f t="shared" si="2"/>
        <v>Warsaw</v>
      </c>
      <c r="L13" s="4" t="b">
        <v>0</v>
      </c>
      <c r="N13" s="19" t="s">
        <v>61</v>
      </c>
      <c r="O13" s="19" t="s">
        <v>37</v>
      </c>
      <c r="P13" s="19" t="s">
        <v>43</v>
      </c>
    </row>
    <row r="14">
      <c r="A14" s="8">
        <v>12.0</v>
      </c>
      <c r="B14" s="8" t="s">
        <v>34</v>
      </c>
      <c r="C14" s="16" t="s">
        <v>61</v>
      </c>
      <c r="D14" s="8" t="s">
        <v>28</v>
      </c>
      <c r="E14" s="17">
        <v>45680.0</v>
      </c>
      <c r="F14" s="16">
        <v>56.24</v>
      </c>
      <c r="G14" s="8" t="s">
        <v>29</v>
      </c>
      <c r="H14" s="8" t="s">
        <v>30</v>
      </c>
      <c r="I14" s="8">
        <v>1041.0</v>
      </c>
      <c r="J14" s="4" t="str">
        <f t="shared" si="1"/>
        <v>Ukraine</v>
      </c>
      <c r="K14" s="4" t="str">
        <f t="shared" si="2"/>
        <v>Kyiv</v>
      </c>
      <c r="L14" s="4" t="b">
        <v>0</v>
      </c>
      <c r="N14" s="19" t="s">
        <v>37</v>
      </c>
      <c r="O14" s="19" t="s">
        <v>37</v>
      </c>
      <c r="P14" s="19" t="s">
        <v>43</v>
      </c>
    </row>
    <row r="15">
      <c r="A15" s="8">
        <v>14.0</v>
      </c>
      <c r="B15" s="8" t="s">
        <v>38</v>
      </c>
      <c r="C15" s="8" t="s">
        <v>27</v>
      </c>
      <c r="D15" s="8" t="s">
        <v>28</v>
      </c>
      <c r="E15" s="17">
        <v>45762.0</v>
      </c>
      <c r="F15" s="16">
        <v>20.69</v>
      </c>
      <c r="G15" s="8" t="s">
        <v>58</v>
      </c>
      <c r="H15" s="8" t="s">
        <v>33</v>
      </c>
      <c r="I15" s="8">
        <v>1069.0</v>
      </c>
      <c r="J15" s="4" t="str">
        <f t="shared" si="1"/>
        <v>Czech Republic</v>
      </c>
      <c r="K15" s="4" t="str">
        <f t="shared" si="2"/>
        <v>Prague</v>
      </c>
      <c r="L15" s="4" t="b">
        <v>1</v>
      </c>
      <c r="N15" s="19" t="s">
        <v>42</v>
      </c>
      <c r="O15" s="19" t="s">
        <v>42</v>
      </c>
      <c r="P15" s="19" t="s">
        <v>35</v>
      </c>
    </row>
    <row r="16">
      <c r="A16" s="8">
        <v>15.0</v>
      </c>
      <c r="B16" s="8" t="s">
        <v>31</v>
      </c>
      <c r="C16" s="8" t="s">
        <v>37</v>
      </c>
      <c r="D16" s="8" t="s">
        <v>35</v>
      </c>
      <c r="E16" s="17">
        <v>45754.0</v>
      </c>
      <c r="F16" s="16">
        <v>46.62</v>
      </c>
      <c r="G16" s="8" t="s">
        <v>58</v>
      </c>
      <c r="H16" s="8" t="s">
        <v>33</v>
      </c>
      <c r="I16" s="8">
        <v>1031.0</v>
      </c>
      <c r="J16" s="4" t="str">
        <f t="shared" si="1"/>
        <v>Ukraine</v>
      </c>
      <c r="K16" s="4" t="str">
        <f t="shared" si="2"/>
        <v>Kyiv</v>
      </c>
      <c r="L16" s="4" t="b">
        <v>0</v>
      </c>
      <c r="N16" s="19" t="s">
        <v>45</v>
      </c>
      <c r="O16" s="19" t="s">
        <v>45</v>
      </c>
      <c r="P16" s="19" t="s">
        <v>32</v>
      </c>
    </row>
    <row r="17">
      <c r="A17" s="8">
        <v>16.0</v>
      </c>
      <c r="B17" s="8" t="s">
        <v>34</v>
      </c>
      <c r="C17" s="16" t="s">
        <v>67</v>
      </c>
      <c r="D17" s="8" t="s">
        <v>28</v>
      </c>
      <c r="E17" s="21">
        <v>45686.0</v>
      </c>
      <c r="F17" s="16">
        <v>10.59</v>
      </c>
      <c r="G17" s="8" t="s">
        <v>29</v>
      </c>
      <c r="H17" s="8" t="s">
        <v>33</v>
      </c>
      <c r="I17" s="8">
        <v>1042.0</v>
      </c>
      <c r="J17" s="4" t="str">
        <f t="shared" si="1"/>
        <v>Czech Republic</v>
      </c>
      <c r="K17" s="4" t="str">
        <f t="shared" si="2"/>
        <v>Prague</v>
      </c>
      <c r="L17" s="4" t="b">
        <v>1</v>
      </c>
      <c r="N17" s="19" t="s">
        <v>67</v>
      </c>
      <c r="O17" s="19" t="s">
        <v>27</v>
      </c>
      <c r="P17" s="20" t="s">
        <v>28</v>
      </c>
    </row>
    <row r="18">
      <c r="A18" s="8">
        <v>17.0</v>
      </c>
      <c r="B18" s="8" t="s">
        <v>26</v>
      </c>
      <c r="C18" s="8" t="s">
        <v>42</v>
      </c>
      <c r="D18" s="8" t="s">
        <v>28</v>
      </c>
      <c r="E18" s="17">
        <v>45667.0</v>
      </c>
      <c r="F18" s="16">
        <v>88.83</v>
      </c>
      <c r="G18" s="8" t="s">
        <v>58</v>
      </c>
      <c r="H18" s="8" t="s">
        <v>33</v>
      </c>
      <c r="I18" s="8">
        <v>1100.0</v>
      </c>
      <c r="J18" s="4" t="str">
        <f t="shared" si="1"/>
        <v>Germany</v>
      </c>
      <c r="K18" s="4" t="str">
        <f t="shared" si="2"/>
        <v>Berlin</v>
      </c>
      <c r="L18" s="4" t="b">
        <v>0</v>
      </c>
      <c r="N18" s="19" t="s">
        <v>68</v>
      </c>
      <c r="O18" s="19" t="s">
        <v>45</v>
      </c>
      <c r="P18" s="19" t="s">
        <v>32</v>
      </c>
    </row>
    <row r="19">
      <c r="A19" s="8">
        <v>18.0</v>
      </c>
      <c r="B19" s="8" t="s">
        <v>31</v>
      </c>
      <c r="C19" s="8" t="s">
        <v>45</v>
      </c>
      <c r="D19" s="8" t="s">
        <v>32</v>
      </c>
      <c r="E19" s="17">
        <v>45718.0</v>
      </c>
      <c r="F19" s="16">
        <v>44.05</v>
      </c>
      <c r="G19" s="8" t="s">
        <v>29</v>
      </c>
      <c r="H19" s="8" t="s">
        <v>30</v>
      </c>
      <c r="I19" s="8">
        <v>1083.0</v>
      </c>
      <c r="J19" s="4" t="str">
        <f t="shared" si="1"/>
        <v>Poland</v>
      </c>
      <c r="K19" s="4" t="str">
        <f t="shared" si="2"/>
        <v>Warsaw</v>
      </c>
      <c r="L19" s="4" t="b">
        <v>1</v>
      </c>
      <c r="N19" s="19" t="s">
        <v>69</v>
      </c>
      <c r="O19" s="19" t="s">
        <v>45</v>
      </c>
      <c r="P19" s="19" t="s">
        <v>32</v>
      </c>
    </row>
    <row r="20">
      <c r="A20" s="8">
        <v>19.0</v>
      </c>
      <c r="B20" s="8" t="s">
        <v>44</v>
      </c>
      <c r="C20" s="8" t="s">
        <v>37</v>
      </c>
      <c r="D20" s="8" t="s">
        <v>32</v>
      </c>
      <c r="E20" s="17">
        <v>45740.0</v>
      </c>
      <c r="F20" s="16">
        <v>47.62</v>
      </c>
      <c r="G20" s="8" t="s">
        <v>58</v>
      </c>
      <c r="H20" s="8" t="s">
        <v>33</v>
      </c>
      <c r="I20" s="8">
        <v>1035.0</v>
      </c>
      <c r="J20" s="4" t="str">
        <f t="shared" si="1"/>
        <v>Ukraine</v>
      </c>
      <c r="K20" s="4" t="str">
        <f t="shared" si="2"/>
        <v>Kyiv</v>
      </c>
      <c r="L20" s="4" t="b">
        <v>0</v>
      </c>
    </row>
    <row r="21">
      <c r="A21" s="8">
        <v>20.0</v>
      </c>
      <c r="B21" s="8" t="s">
        <v>34</v>
      </c>
      <c r="C21" s="8" t="s">
        <v>42</v>
      </c>
      <c r="D21" s="8" t="s">
        <v>32</v>
      </c>
      <c r="E21" s="17">
        <v>45717.0</v>
      </c>
      <c r="F21" s="16">
        <v>84.42</v>
      </c>
      <c r="G21" s="8" t="s">
        <v>29</v>
      </c>
      <c r="H21" s="8" t="s">
        <v>33</v>
      </c>
      <c r="I21" s="8">
        <v>1021.0</v>
      </c>
      <c r="J21" s="4" t="str">
        <f t="shared" si="1"/>
        <v>Germany</v>
      </c>
      <c r="K21" s="4" t="str">
        <f t="shared" si="2"/>
        <v>Berlin</v>
      </c>
      <c r="L21" s="4" t="b">
        <v>0</v>
      </c>
      <c r="N21" s="8" t="s">
        <v>70</v>
      </c>
      <c r="O21" s="8" t="s">
        <v>71</v>
      </c>
    </row>
    <row r="22">
      <c r="A22" s="8">
        <v>21.0</v>
      </c>
      <c r="B22" s="8" t="s">
        <v>31</v>
      </c>
      <c r="C22" s="8" t="s">
        <v>42</v>
      </c>
      <c r="D22" s="8" t="s">
        <v>32</v>
      </c>
      <c r="E22" s="17">
        <v>45710.0</v>
      </c>
      <c r="F22" s="16"/>
      <c r="G22" s="8" t="s">
        <v>58</v>
      </c>
      <c r="H22" s="8" t="s">
        <v>41</v>
      </c>
      <c r="I22" s="8">
        <v>1100.0</v>
      </c>
      <c r="J22" s="4" t="str">
        <f t="shared" si="1"/>
        <v>Germany</v>
      </c>
      <c r="K22" s="4" t="str">
        <f t="shared" si="2"/>
        <v>Berlin</v>
      </c>
      <c r="L22" s="4" t="b">
        <v>0</v>
      </c>
      <c r="N22" s="4">
        <f>COUNTIF(L2:L489, L2=True)</f>
        <v>120</v>
      </c>
      <c r="O22" s="4">
        <f>COUNTIF(L2:L489, L2=False)</f>
        <v>368</v>
      </c>
    </row>
    <row r="23">
      <c r="A23" s="8">
        <v>22.0</v>
      </c>
      <c r="B23" s="8" t="s">
        <v>44</v>
      </c>
      <c r="C23" s="8" t="s">
        <v>42</v>
      </c>
      <c r="D23" s="8" t="s">
        <v>28</v>
      </c>
      <c r="E23" s="17">
        <v>45758.0</v>
      </c>
      <c r="F23" s="16">
        <v>10.56</v>
      </c>
      <c r="G23" s="8" t="s">
        <v>29</v>
      </c>
      <c r="H23" s="8" t="s">
        <v>30</v>
      </c>
      <c r="I23" s="8">
        <v>1040.0</v>
      </c>
      <c r="J23" s="4" t="str">
        <f t="shared" si="1"/>
        <v>Germany</v>
      </c>
      <c r="K23" s="4" t="str">
        <f t="shared" si="2"/>
        <v>Berlin</v>
      </c>
      <c r="L23" s="4" t="b">
        <v>0</v>
      </c>
      <c r="N23" s="22">
        <f t="shared" ref="N23:O23" si="3">N22/COUNTA(D2:D489)</f>
        <v>0.2459016393</v>
      </c>
      <c r="O23" s="22">
        <f t="shared" si="3"/>
        <v>0.7540983607</v>
      </c>
    </row>
    <row r="24">
      <c r="A24" s="8">
        <v>23.0</v>
      </c>
      <c r="B24" s="8" t="s">
        <v>44</v>
      </c>
      <c r="C24" s="8" t="s">
        <v>27</v>
      </c>
      <c r="D24" s="8" t="s">
        <v>32</v>
      </c>
      <c r="E24" s="17">
        <v>45665.0</v>
      </c>
      <c r="F24" s="16">
        <v>22.65</v>
      </c>
      <c r="G24" s="8" t="s">
        <v>29</v>
      </c>
      <c r="H24" s="8" t="s">
        <v>30</v>
      </c>
      <c r="I24" s="8">
        <v>1030.0</v>
      </c>
      <c r="J24" s="4" t="str">
        <f t="shared" si="1"/>
        <v>Czech Republic</v>
      </c>
      <c r="K24" s="4" t="str">
        <f t="shared" si="2"/>
        <v>Prague</v>
      </c>
      <c r="L24" s="4" t="b">
        <v>0</v>
      </c>
    </row>
    <row r="25">
      <c r="A25" s="8">
        <v>24.0</v>
      </c>
      <c r="B25" s="8" t="s">
        <v>38</v>
      </c>
      <c r="C25" s="16" t="s">
        <v>56</v>
      </c>
      <c r="D25" s="8" t="s">
        <v>32</v>
      </c>
      <c r="E25" s="17">
        <v>45709.0</v>
      </c>
      <c r="F25" s="16">
        <v>60.45</v>
      </c>
      <c r="G25" s="8" t="s">
        <v>36</v>
      </c>
      <c r="H25" s="8" t="s">
        <v>41</v>
      </c>
      <c r="I25" s="8">
        <v>1026.0</v>
      </c>
      <c r="J25" s="4" t="str">
        <f t="shared" si="1"/>
        <v>Czech Republic</v>
      </c>
      <c r="K25" s="4" t="str">
        <f t="shared" si="2"/>
        <v>Prague</v>
      </c>
      <c r="L25" s="4" t="b">
        <v>0</v>
      </c>
    </row>
    <row r="26">
      <c r="A26" s="8">
        <v>25.0</v>
      </c>
      <c r="B26" s="8" t="s">
        <v>31</v>
      </c>
      <c r="C26" s="8" t="s">
        <v>37</v>
      </c>
      <c r="D26" s="8" t="s">
        <v>35</v>
      </c>
      <c r="E26" s="17">
        <v>45743.0</v>
      </c>
      <c r="F26" s="16">
        <v>48.44</v>
      </c>
      <c r="G26" s="8" t="s">
        <v>29</v>
      </c>
      <c r="H26" s="8" t="s">
        <v>33</v>
      </c>
      <c r="I26" s="8">
        <v>1058.0</v>
      </c>
      <c r="J26" s="4" t="str">
        <f t="shared" si="1"/>
        <v>Ukraine</v>
      </c>
      <c r="K26" s="4" t="str">
        <f t="shared" si="2"/>
        <v>Kyiv</v>
      </c>
      <c r="L26" s="4" t="b">
        <v>0</v>
      </c>
    </row>
    <row r="27">
      <c r="A27" s="8">
        <v>26.0</v>
      </c>
      <c r="B27" s="8" t="s">
        <v>34</v>
      </c>
      <c r="C27" s="8" t="s">
        <v>45</v>
      </c>
      <c r="D27" s="8" t="s">
        <v>28</v>
      </c>
      <c r="E27" s="17">
        <v>45737.0</v>
      </c>
      <c r="F27" s="16">
        <v>38.16</v>
      </c>
      <c r="G27" s="8" t="s">
        <v>29</v>
      </c>
      <c r="H27" s="8" t="s">
        <v>33</v>
      </c>
      <c r="I27" s="8">
        <v>1047.0</v>
      </c>
      <c r="J27" s="4" t="str">
        <f t="shared" si="1"/>
        <v>Poland</v>
      </c>
      <c r="K27" s="4" t="str">
        <f t="shared" si="2"/>
        <v>Warsaw</v>
      </c>
      <c r="L27" s="4" t="b">
        <v>0</v>
      </c>
    </row>
    <row r="28">
      <c r="A28" s="8">
        <v>27.0</v>
      </c>
      <c r="B28" s="8" t="s">
        <v>38</v>
      </c>
      <c r="C28" s="8" t="s">
        <v>37</v>
      </c>
      <c r="D28" s="8" t="s">
        <v>32</v>
      </c>
      <c r="E28" s="17">
        <v>45694.0</v>
      </c>
      <c r="F28" s="16">
        <v>93.52</v>
      </c>
      <c r="G28" s="8" t="s">
        <v>29</v>
      </c>
      <c r="H28" s="8" t="s">
        <v>33</v>
      </c>
      <c r="I28" s="8">
        <v>1033.0</v>
      </c>
      <c r="J28" s="4" t="str">
        <f t="shared" si="1"/>
        <v>Ukraine</v>
      </c>
      <c r="K28" s="4" t="str">
        <f t="shared" si="2"/>
        <v>Kyiv</v>
      </c>
      <c r="L28" s="4" t="b">
        <v>0</v>
      </c>
    </row>
    <row r="29">
      <c r="A29" s="8">
        <v>28.0</v>
      </c>
      <c r="B29" s="8" t="s">
        <v>38</v>
      </c>
      <c r="C29" s="16" t="s">
        <v>56</v>
      </c>
      <c r="D29" s="8" t="s">
        <v>43</v>
      </c>
      <c r="E29" s="17">
        <v>45672.0</v>
      </c>
      <c r="F29" s="16">
        <v>37.57</v>
      </c>
      <c r="G29" s="8" t="s">
        <v>36</v>
      </c>
      <c r="H29" s="8" t="s">
        <v>30</v>
      </c>
      <c r="I29" s="8">
        <v>1062.0</v>
      </c>
      <c r="J29" s="4" t="str">
        <f t="shared" si="1"/>
        <v>Czech Republic</v>
      </c>
      <c r="K29" s="4" t="str">
        <f t="shared" si="2"/>
        <v>Prague</v>
      </c>
      <c r="L29" s="4" t="b">
        <v>0</v>
      </c>
    </row>
    <row r="30">
      <c r="A30" s="8">
        <v>29.0</v>
      </c>
      <c r="B30" s="8" t="s">
        <v>34</v>
      </c>
      <c r="C30" s="23" t="s">
        <v>68</v>
      </c>
      <c r="D30" s="8" t="s">
        <v>35</v>
      </c>
      <c r="E30" s="17">
        <v>45690.0</v>
      </c>
      <c r="F30" s="16"/>
      <c r="G30" s="8" t="s">
        <v>36</v>
      </c>
      <c r="H30" s="8" t="s">
        <v>33</v>
      </c>
      <c r="I30" s="8">
        <v>1081.0</v>
      </c>
      <c r="J30" s="4" t="str">
        <f t="shared" si="1"/>
        <v>Poland</v>
      </c>
      <c r="K30" s="4" t="str">
        <f t="shared" si="2"/>
        <v>Warsaw</v>
      </c>
      <c r="L30" s="4" t="b">
        <v>0</v>
      </c>
    </row>
    <row r="31">
      <c r="A31" s="8">
        <v>30.0</v>
      </c>
      <c r="B31" s="8" t="s">
        <v>44</v>
      </c>
      <c r="C31" s="8" t="s">
        <v>42</v>
      </c>
      <c r="D31" s="8" t="s">
        <v>32</v>
      </c>
      <c r="E31" s="17">
        <v>45691.0</v>
      </c>
      <c r="F31" s="16">
        <v>70.65</v>
      </c>
      <c r="G31" s="8" t="s">
        <v>40</v>
      </c>
      <c r="H31" s="8" t="s">
        <v>30</v>
      </c>
      <c r="I31" s="8">
        <v>1004.0</v>
      </c>
      <c r="J31" s="4" t="str">
        <f t="shared" si="1"/>
        <v>Germany</v>
      </c>
      <c r="K31" s="4" t="str">
        <f t="shared" si="2"/>
        <v>Berlin</v>
      </c>
      <c r="L31" s="4" t="b">
        <v>0</v>
      </c>
    </row>
    <row r="32">
      <c r="A32" s="8">
        <v>31.0</v>
      </c>
      <c r="B32" s="8" t="s">
        <v>38</v>
      </c>
      <c r="C32" s="8" t="s">
        <v>27</v>
      </c>
      <c r="D32" s="8" t="s">
        <v>35</v>
      </c>
      <c r="E32" s="17">
        <v>45764.0</v>
      </c>
      <c r="F32" s="16">
        <v>90.4</v>
      </c>
      <c r="G32" s="8" t="s">
        <v>29</v>
      </c>
      <c r="H32" s="8" t="s">
        <v>41</v>
      </c>
      <c r="I32" s="8">
        <v>1026.0</v>
      </c>
      <c r="J32" s="4" t="str">
        <f t="shared" si="1"/>
        <v>Czech Republic</v>
      </c>
      <c r="K32" s="4" t="str">
        <f t="shared" si="2"/>
        <v>Prague</v>
      </c>
      <c r="L32" s="4" t="b">
        <v>0</v>
      </c>
    </row>
    <row r="33">
      <c r="A33" s="8">
        <v>32.0</v>
      </c>
      <c r="B33" s="8" t="s">
        <v>34</v>
      </c>
      <c r="C33" s="8" t="s">
        <v>37</v>
      </c>
      <c r="D33" s="8" t="s">
        <v>35</v>
      </c>
      <c r="E33" s="17">
        <v>45745.0</v>
      </c>
      <c r="F33" s="16">
        <v>92.95</v>
      </c>
      <c r="G33" s="8" t="s">
        <v>40</v>
      </c>
      <c r="H33" s="8" t="s">
        <v>33</v>
      </c>
      <c r="I33" s="8">
        <v>1022.0</v>
      </c>
      <c r="J33" s="4" t="str">
        <f t="shared" si="1"/>
        <v>Ukraine</v>
      </c>
      <c r="K33" s="4" t="str">
        <f t="shared" si="2"/>
        <v>Kyiv</v>
      </c>
      <c r="L33" s="4" t="b">
        <v>0</v>
      </c>
    </row>
    <row r="34">
      <c r="A34" s="8">
        <v>33.0</v>
      </c>
      <c r="B34" s="8" t="s">
        <v>31</v>
      </c>
      <c r="C34" s="8" t="s">
        <v>37</v>
      </c>
      <c r="D34" s="8" t="s">
        <v>35</v>
      </c>
      <c r="E34" s="17">
        <v>45770.0</v>
      </c>
      <c r="F34" s="16">
        <v>82.02</v>
      </c>
      <c r="G34" s="8" t="s">
        <v>36</v>
      </c>
      <c r="H34" s="8" t="s">
        <v>33</v>
      </c>
      <c r="I34" s="8">
        <v>1100.0</v>
      </c>
      <c r="J34" s="4" t="str">
        <f t="shared" si="1"/>
        <v>Ukraine</v>
      </c>
      <c r="K34" s="4" t="str">
        <f t="shared" si="2"/>
        <v>Kyiv</v>
      </c>
      <c r="L34" s="4" t="b">
        <v>0</v>
      </c>
    </row>
    <row r="35">
      <c r="A35" s="8">
        <v>34.0</v>
      </c>
      <c r="B35" s="8" t="s">
        <v>34</v>
      </c>
      <c r="C35" s="8" t="s">
        <v>42</v>
      </c>
      <c r="D35" s="8" t="s">
        <v>28</v>
      </c>
      <c r="E35" s="17">
        <v>45747.0</v>
      </c>
      <c r="F35" s="16">
        <v>38.22</v>
      </c>
      <c r="G35" s="8" t="s">
        <v>40</v>
      </c>
      <c r="H35" s="8" t="s">
        <v>33</v>
      </c>
      <c r="I35" s="8">
        <v>1003.0</v>
      </c>
      <c r="J35" s="4" t="str">
        <f t="shared" si="1"/>
        <v>Germany</v>
      </c>
      <c r="K35" s="4" t="str">
        <f t="shared" si="2"/>
        <v>Berlin</v>
      </c>
      <c r="L35" s="4" t="b">
        <v>0</v>
      </c>
    </row>
    <row r="36">
      <c r="A36" s="8">
        <v>35.0</v>
      </c>
      <c r="B36" s="8" t="s">
        <v>26</v>
      </c>
      <c r="C36" s="16" t="s">
        <v>61</v>
      </c>
      <c r="D36" s="8" t="s">
        <v>32</v>
      </c>
      <c r="E36" s="17">
        <v>45742.0</v>
      </c>
      <c r="F36" s="16">
        <v>65.94</v>
      </c>
      <c r="G36" s="8" t="s">
        <v>58</v>
      </c>
      <c r="H36" s="8" t="s">
        <v>30</v>
      </c>
      <c r="I36" s="8">
        <v>1068.0</v>
      </c>
      <c r="J36" s="4" t="str">
        <f t="shared" si="1"/>
        <v>Ukraine</v>
      </c>
      <c r="K36" s="4" t="str">
        <f t="shared" si="2"/>
        <v>Kyiv</v>
      </c>
      <c r="L36" s="4" t="b">
        <v>0</v>
      </c>
    </row>
    <row r="37">
      <c r="A37" s="8">
        <v>36.0</v>
      </c>
      <c r="B37" s="8" t="s">
        <v>34</v>
      </c>
      <c r="C37" s="8" t="s">
        <v>37</v>
      </c>
      <c r="D37" s="8" t="s">
        <v>28</v>
      </c>
      <c r="E37" s="17">
        <v>45700.0</v>
      </c>
      <c r="F37" s="16">
        <v>8.63</v>
      </c>
      <c r="G37" s="8" t="s">
        <v>58</v>
      </c>
      <c r="H37" s="8" t="s">
        <v>41</v>
      </c>
      <c r="I37" s="8">
        <v>1093.0</v>
      </c>
      <c r="J37" s="4" t="str">
        <f t="shared" si="1"/>
        <v>Ukraine</v>
      </c>
      <c r="K37" s="4" t="str">
        <f t="shared" si="2"/>
        <v>Kyiv</v>
      </c>
      <c r="L37" s="4" t="b">
        <v>0</v>
      </c>
    </row>
    <row r="38">
      <c r="A38" s="8">
        <v>37.0</v>
      </c>
      <c r="B38" s="8" t="s">
        <v>38</v>
      </c>
      <c r="C38" s="8" t="s">
        <v>45</v>
      </c>
      <c r="D38" s="8" t="s">
        <v>35</v>
      </c>
      <c r="E38" s="17">
        <v>45758.0</v>
      </c>
      <c r="F38" s="16">
        <v>9.22</v>
      </c>
      <c r="G38" s="8" t="s">
        <v>58</v>
      </c>
      <c r="H38" s="8" t="s">
        <v>33</v>
      </c>
      <c r="I38" s="8">
        <v>1066.0</v>
      </c>
      <c r="J38" s="4" t="str">
        <f t="shared" si="1"/>
        <v>Poland</v>
      </c>
      <c r="K38" s="4" t="str">
        <f t="shared" si="2"/>
        <v>Warsaw</v>
      </c>
      <c r="L38" s="4" t="b">
        <v>0</v>
      </c>
    </row>
    <row r="39">
      <c r="A39" s="8">
        <v>38.0</v>
      </c>
      <c r="B39" s="8" t="s">
        <v>31</v>
      </c>
      <c r="C39" s="8" t="s">
        <v>37</v>
      </c>
      <c r="D39" s="8" t="s">
        <v>35</v>
      </c>
      <c r="E39" s="17">
        <v>45776.0</v>
      </c>
      <c r="F39" s="16">
        <v>36.37</v>
      </c>
      <c r="G39" s="8" t="s">
        <v>36</v>
      </c>
      <c r="H39" s="8" t="s">
        <v>30</v>
      </c>
      <c r="I39" s="8">
        <v>1015.0</v>
      </c>
      <c r="J39" s="4" t="str">
        <f t="shared" si="1"/>
        <v>Ukraine</v>
      </c>
      <c r="K39" s="4" t="str">
        <f t="shared" si="2"/>
        <v>Kyiv</v>
      </c>
      <c r="L39" s="4" t="b">
        <v>0</v>
      </c>
    </row>
    <row r="40">
      <c r="A40" s="8">
        <v>39.0</v>
      </c>
      <c r="B40" s="8" t="s">
        <v>38</v>
      </c>
      <c r="C40" s="8" t="s">
        <v>37</v>
      </c>
      <c r="D40" s="8" t="s">
        <v>35</v>
      </c>
      <c r="E40" s="17">
        <v>45750.0</v>
      </c>
      <c r="F40" s="16">
        <v>57.67</v>
      </c>
      <c r="G40" s="8" t="s">
        <v>40</v>
      </c>
      <c r="H40" s="8" t="s">
        <v>41</v>
      </c>
      <c r="I40" s="8">
        <v>1085.0</v>
      </c>
      <c r="J40" s="4" t="str">
        <f t="shared" si="1"/>
        <v>Ukraine</v>
      </c>
      <c r="K40" s="4" t="str">
        <f t="shared" si="2"/>
        <v>Kyiv</v>
      </c>
      <c r="L40" s="4" t="b">
        <v>0</v>
      </c>
    </row>
    <row r="41">
      <c r="A41" s="8">
        <v>40.0</v>
      </c>
      <c r="B41" s="8" t="s">
        <v>31</v>
      </c>
      <c r="C41" s="8" t="s">
        <v>37</v>
      </c>
      <c r="D41" s="8" t="s">
        <v>35</v>
      </c>
      <c r="E41" s="17">
        <v>45778.0</v>
      </c>
      <c r="F41" s="16"/>
      <c r="G41" s="8" t="s">
        <v>36</v>
      </c>
      <c r="H41" s="8" t="s">
        <v>33</v>
      </c>
      <c r="I41" s="8">
        <v>1055.0</v>
      </c>
      <c r="J41" s="4" t="str">
        <f t="shared" si="1"/>
        <v>Ukraine</v>
      </c>
      <c r="K41" s="4" t="str">
        <f t="shared" si="2"/>
        <v>Kyiv</v>
      </c>
      <c r="L41" s="4" t="b">
        <v>0</v>
      </c>
    </row>
    <row r="42">
      <c r="A42" s="8">
        <v>41.0</v>
      </c>
      <c r="B42" s="8" t="s">
        <v>26</v>
      </c>
      <c r="C42" s="8" t="s">
        <v>42</v>
      </c>
      <c r="D42" s="8" t="s">
        <v>35</v>
      </c>
      <c r="E42" s="17">
        <v>45758.0</v>
      </c>
      <c r="F42" s="16">
        <v>49.95</v>
      </c>
      <c r="G42" s="8" t="s">
        <v>40</v>
      </c>
      <c r="H42" s="8" t="s">
        <v>30</v>
      </c>
      <c r="I42" s="8">
        <v>1010.0</v>
      </c>
      <c r="J42" s="4" t="str">
        <f t="shared" si="1"/>
        <v>Germany</v>
      </c>
      <c r="K42" s="4" t="str">
        <f t="shared" si="2"/>
        <v>Berlin</v>
      </c>
      <c r="L42" s="4" t="b">
        <v>1</v>
      </c>
    </row>
    <row r="43">
      <c r="A43" s="8">
        <v>42.0</v>
      </c>
      <c r="B43" s="8" t="s">
        <v>38</v>
      </c>
      <c r="C43" s="8" t="s">
        <v>37</v>
      </c>
      <c r="D43" s="8" t="s">
        <v>32</v>
      </c>
      <c r="E43" s="17">
        <v>45694.0</v>
      </c>
      <c r="F43" s="16">
        <v>68.92</v>
      </c>
      <c r="G43" s="8" t="s">
        <v>40</v>
      </c>
      <c r="H43" s="8" t="s">
        <v>33</v>
      </c>
      <c r="I43" s="8">
        <v>1018.0</v>
      </c>
      <c r="J43" s="4" t="str">
        <f t="shared" si="1"/>
        <v>Ukraine</v>
      </c>
      <c r="K43" s="4" t="str">
        <f t="shared" si="2"/>
        <v>Kyiv</v>
      </c>
      <c r="L43" s="4" t="b">
        <v>0</v>
      </c>
    </row>
    <row r="44">
      <c r="A44" s="8">
        <v>43.0</v>
      </c>
      <c r="B44" s="8" t="s">
        <v>44</v>
      </c>
      <c r="C44" s="8" t="s">
        <v>45</v>
      </c>
      <c r="D44" s="8" t="s">
        <v>35</v>
      </c>
      <c r="E44" s="17">
        <v>45661.0</v>
      </c>
      <c r="F44" s="16">
        <v>23.47</v>
      </c>
      <c r="G44" s="8" t="s">
        <v>58</v>
      </c>
      <c r="H44" s="8" t="s">
        <v>41</v>
      </c>
      <c r="I44" s="8">
        <v>1051.0</v>
      </c>
      <c r="J44" s="4" t="str">
        <f t="shared" si="1"/>
        <v>Poland</v>
      </c>
      <c r="K44" s="4" t="str">
        <f t="shared" si="2"/>
        <v>Warsaw</v>
      </c>
      <c r="L44" s="4" t="b">
        <v>0</v>
      </c>
    </row>
    <row r="45">
      <c r="A45" s="8">
        <v>44.0</v>
      </c>
      <c r="B45" s="8" t="s">
        <v>34</v>
      </c>
      <c r="C45" s="8" t="s">
        <v>45</v>
      </c>
      <c r="D45" s="8" t="s">
        <v>35</v>
      </c>
      <c r="E45" s="17">
        <v>45689.0</v>
      </c>
      <c r="F45" s="16">
        <v>71.11</v>
      </c>
      <c r="G45" s="8" t="s">
        <v>58</v>
      </c>
      <c r="H45" s="8" t="s">
        <v>33</v>
      </c>
      <c r="I45" s="8">
        <v>1071.0</v>
      </c>
      <c r="J45" s="4" t="str">
        <f t="shared" si="1"/>
        <v>Poland</v>
      </c>
      <c r="K45" s="4" t="str">
        <f t="shared" si="2"/>
        <v>Warsaw</v>
      </c>
      <c r="L45" s="4" t="b">
        <v>0</v>
      </c>
    </row>
    <row r="46">
      <c r="A46" s="8">
        <v>45.0</v>
      </c>
      <c r="B46" s="8" t="s">
        <v>34</v>
      </c>
      <c r="C46" s="8" t="s">
        <v>42</v>
      </c>
      <c r="D46" s="8" t="s">
        <v>28</v>
      </c>
      <c r="E46" s="17">
        <v>45689.0</v>
      </c>
      <c r="F46" s="16">
        <v>98.85</v>
      </c>
      <c r="G46" s="8" t="s">
        <v>36</v>
      </c>
      <c r="H46" s="8" t="s">
        <v>41</v>
      </c>
      <c r="I46" s="8">
        <v>1078.0</v>
      </c>
      <c r="J46" s="4" t="str">
        <f t="shared" si="1"/>
        <v>Germany</v>
      </c>
      <c r="K46" s="4" t="str">
        <f t="shared" si="2"/>
        <v>Berlin</v>
      </c>
      <c r="L46" s="4" t="b">
        <v>0</v>
      </c>
    </row>
    <row r="47">
      <c r="A47" s="8">
        <v>46.0</v>
      </c>
      <c r="B47" s="8" t="s">
        <v>38</v>
      </c>
      <c r="C47" s="8" t="s">
        <v>42</v>
      </c>
      <c r="D47" s="8" t="s">
        <v>35</v>
      </c>
      <c r="E47" s="17">
        <v>45762.0</v>
      </c>
      <c r="F47" s="16">
        <v>50.09</v>
      </c>
      <c r="G47" s="8" t="s">
        <v>36</v>
      </c>
      <c r="H47" s="8" t="s">
        <v>33</v>
      </c>
      <c r="I47" s="8">
        <v>1081.0</v>
      </c>
      <c r="J47" s="4" t="str">
        <f t="shared" si="1"/>
        <v>Germany</v>
      </c>
      <c r="K47" s="4" t="str">
        <f t="shared" si="2"/>
        <v>Berlin</v>
      </c>
      <c r="L47" s="4" t="b">
        <v>1</v>
      </c>
    </row>
    <row r="48">
      <c r="A48" s="8">
        <v>47.0</v>
      </c>
      <c r="B48" s="8" t="s">
        <v>38</v>
      </c>
      <c r="C48" s="8" t="s">
        <v>42</v>
      </c>
      <c r="D48" s="8" t="s">
        <v>28</v>
      </c>
      <c r="E48" s="17">
        <v>45693.0</v>
      </c>
      <c r="F48" s="16">
        <v>32.14</v>
      </c>
      <c r="G48" s="8" t="s">
        <v>36</v>
      </c>
      <c r="H48" s="8" t="s">
        <v>41</v>
      </c>
      <c r="I48" s="8">
        <v>1040.0</v>
      </c>
      <c r="J48" s="4" t="str">
        <f t="shared" si="1"/>
        <v>Germany</v>
      </c>
      <c r="K48" s="4" t="str">
        <f t="shared" si="2"/>
        <v>Berlin</v>
      </c>
      <c r="L48" s="4" t="b">
        <v>0</v>
      </c>
    </row>
    <row r="49">
      <c r="A49" s="8">
        <v>48.0</v>
      </c>
      <c r="B49" s="8" t="s">
        <v>31</v>
      </c>
      <c r="C49" s="8" t="s">
        <v>27</v>
      </c>
      <c r="D49" s="8" t="s">
        <v>28</v>
      </c>
      <c r="E49" s="17">
        <v>45772.0</v>
      </c>
      <c r="F49" s="16">
        <v>25.33</v>
      </c>
      <c r="G49" s="8" t="s">
        <v>58</v>
      </c>
      <c r="H49" s="8" t="s">
        <v>41</v>
      </c>
      <c r="I49" s="8">
        <v>1042.0</v>
      </c>
      <c r="J49" s="4" t="str">
        <f t="shared" si="1"/>
        <v>Czech Republic</v>
      </c>
      <c r="K49" s="4" t="str">
        <f t="shared" si="2"/>
        <v>Prague</v>
      </c>
      <c r="L49" s="4" t="b">
        <v>1</v>
      </c>
    </row>
    <row r="50">
      <c r="A50" s="8">
        <v>49.0</v>
      </c>
      <c r="B50" s="8" t="s">
        <v>34</v>
      </c>
      <c r="C50" s="8" t="s">
        <v>27</v>
      </c>
      <c r="D50" s="8" t="s">
        <v>35</v>
      </c>
      <c r="E50" s="17">
        <v>45727.0</v>
      </c>
      <c r="F50" s="16">
        <v>94.88</v>
      </c>
      <c r="G50" s="8" t="s">
        <v>29</v>
      </c>
      <c r="H50" s="8" t="s">
        <v>30</v>
      </c>
      <c r="I50" s="8">
        <v>1048.0</v>
      </c>
      <c r="J50" s="4" t="str">
        <f t="shared" si="1"/>
        <v>Czech Republic</v>
      </c>
      <c r="K50" s="4" t="str">
        <f t="shared" si="2"/>
        <v>Prague</v>
      </c>
      <c r="L50" s="4" t="b">
        <v>0</v>
      </c>
    </row>
    <row r="51">
      <c r="A51" s="8">
        <v>51.0</v>
      </c>
      <c r="B51" s="8" t="s">
        <v>34</v>
      </c>
      <c r="C51" s="8" t="s">
        <v>42</v>
      </c>
      <c r="D51" s="8" t="s">
        <v>43</v>
      </c>
      <c r="E51" s="17">
        <v>45692.0</v>
      </c>
      <c r="F51" s="16">
        <v>73.8</v>
      </c>
      <c r="G51" s="8" t="s">
        <v>58</v>
      </c>
      <c r="H51" s="8" t="s">
        <v>33</v>
      </c>
      <c r="I51" s="8">
        <v>1079.0</v>
      </c>
      <c r="J51" s="4" t="str">
        <f t="shared" si="1"/>
        <v>Germany</v>
      </c>
      <c r="K51" s="4" t="str">
        <f t="shared" si="2"/>
        <v>Berlin</v>
      </c>
      <c r="L51" s="4" t="b">
        <v>0</v>
      </c>
    </row>
    <row r="52">
      <c r="A52" s="8">
        <v>52.0</v>
      </c>
      <c r="B52" s="8" t="s">
        <v>44</v>
      </c>
      <c r="C52" s="16" t="s">
        <v>69</v>
      </c>
      <c r="D52" s="8" t="s">
        <v>32</v>
      </c>
      <c r="E52" s="17">
        <v>45726.0</v>
      </c>
      <c r="F52" s="16">
        <v>48.86</v>
      </c>
      <c r="G52" s="8" t="s">
        <v>29</v>
      </c>
      <c r="H52" s="8" t="s">
        <v>41</v>
      </c>
      <c r="I52" s="8">
        <v>1048.0</v>
      </c>
      <c r="J52" s="4" t="str">
        <f t="shared" si="1"/>
        <v>Poland</v>
      </c>
      <c r="K52" s="4" t="str">
        <f t="shared" si="2"/>
        <v>Warsaw</v>
      </c>
      <c r="L52" s="4" t="b">
        <v>1</v>
      </c>
    </row>
    <row r="53">
      <c r="A53" s="8">
        <v>53.0</v>
      </c>
      <c r="B53" s="8" t="s">
        <v>26</v>
      </c>
      <c r="C53" s="8" t="s">
        <v>37</v>
      </c>
      <c r="D53" s="8" t="s">
        <v>35</v>
      </c>
      <c r="E53" s="17">
        <v>45699.0</v>
      </c>
      <c r="F53" s="16">
        <v>45.05</v>
      </c>
      <c r="G53" s="8" t="s">
        <v>29</v>
      </c>
      <c r="H53" s="8" t="s">
        <v>41</v>
      </c>
      <c r="I53" s="8">
        <v>1002.0</v>
      </c>
      <c r="J53" s="4" t="str">
        <f t="shared" si="1"/>
        <v>Ukraine</v>
      </c>
      <c r="K53" s="4" t="str">
        <f t="shared" si="2"/>
        <v>Kyiv</v>
      </c>
      <c r="L53" s="4" t="b">
        <v>0</v>
      </c>
    </row>
    <row r="54">
      <c r="A54" s="8">
        <v>54.0</v>
      </c>
      <c r="B54" s="8" t="s">
        <v>26</v>
      </c>
      <c r="C54" s="16" t="s">
        <v>67</v>
      </c>
      <c r="D54" s="8" t="s">
        <v>32</v>
      </c>
      <c r="E54" s="17">
        <v>45753.0</v>
      </c>
      <c r="F54" s="16">
        <v>76.65</v>
      </c>
      <c r="G54" s="8" t="s">
        <v>40</v>
      </c>
      <c r="H54" s="8" t="s">
        <v>33</v>
      </c>
      <c r="I54" s="8">
        <v>1002.0</v>
      </c>
      <c r="J54" s="4" t="str">
        <f t="shared" si="1"/>
        <v>Czech Republic</v>
      </c>
      <c r="K54" s="4" t="str">
        <f t="shared" si="2"/>
        <v>Prague</v>
      </c>
      <c r="L54" s="4" t="b">
        <v>0</v>
      </c>
    </row>
    <row r="55">
      <c r="A55" s="8">
        <v>55.0</v>
      </c>
      <c r="B55" s="8" t="s">
        <v>31</v>
      </c>
      <c r="C55" s="8" t="s">
        <v>42</v>
      </c>
      <c r="D55" s="8" t="s">
        <v>32</v>
      </c>
      <c r="E55" s="17">
        <v>45737.0</v>
      </c>
      <c r="F55" s="16">
        <v>71.45</v>
      </c>
      <c r="G55" s="8" t="s">
        <v>36</v>
      </c>
      <c r="H55" s="8" t="s">
        <v>33</v>
      </c>
      <c r="I55" s="8">
        <v>1077.0</v>
      </c>
      <c r="J55" s="4" t="str">
        <f t="shared" si="1"/>
        <v>Germany</v>
      </c>
      <c r="K55" s="4" t="str">
        <f t="shared" si="2"/>
        <v>Berlin</v>
      </c>
      <c r="L55" s="4" t="b">
        <v>0</v>
      </c>
    </row>
    <row r="56">
      <c r="A56" s="8">
        <v>56.0</v>
      </c>
      <c r="B56" s="8" t="s">
        <v>34</v>
      </c>
      <c r="C56" s="8" t="s">
        <v>27</v>
      </c>
      <c r="D56" s="8" t="s">
        <v>43</v>
      </c>
      <c r="E56" s="17">
        <v>45735.0</v>
      </c>
      <c r="F56" s="16"/>
      <c r="G56" s="8" t="s">
        <v>36</v>
      </c>
      <c r="H56" s="8" t="s">
        <v>30</v>
      </c>
      <c r="I56" s="8">
        <v>1086.0</v>
      </c>
      <c r="J56" s="4" t="str">
        <f t="shared" si="1"/>
        <v>Czech Republic</v>
      </c>
      <c r="K56" s="4" t="str">
        <f t="shared" si="2"/>
        <v>Prague</v>
      </c>
      <c r="L56" s="4" t="b">
        <v>0</v>
      </c>
    </row>
    <row r="57">
      <c r="A57" s="8">
        <v>57.0</v>
      </c>
      <c r="B57" s="8" t="s">
        <v>44</v>
      </c>
      <c r="C57" s="8" t="s">
        <v>27</v>
      </c>
      <c r="D57" s="8" t="s">
        <v>32</v>
      </c>
      <c r="E57" s="17">
        <v>45774.0</v>
      </c>
      <c r="F57" s="16">
        <v>28.07</v>
      </c>
      <c r="G57" s="8" t="s">
        <v>36</v>
      </c>
      <c r="H57" s="8" t="s">
        <v>30</v>
      </c>
      <c r="I57" s="8">
        <v>1076.0</v>
      </c>
      <c r="J57" s="4" t="str">
        <f t="shared" si="1"/>
        <v>Czech Republic</v>
      </c>
      <c r="K57" s="4" t="str">
        <f t="shared" si="2"/>
        <v>Prague</v>
      </c>
      <c r="L57" s="4" t="b">
        <v>0</v>
      </c>
    </row>
    <row r="58">
      <c r="A58" s="8">
        <v>58.0</v>
      </c>
      <c r="B58" s="8" t="s">
        <v>38</v>
      </c>
      <c r="C58" s="16" t="s">
        <v>69</v>
      </c>
      <c r="D58" s="8" t="s">
        <v>43</v>
      </c>
      <c r="E58" s="17">
        <v>45761.0</v>
      </c>
      <c r="F58" s="16">
        <v>11.55</v>
      </c>
      <c r="G58" s="8" t="s">
        <v>36</v>
      </c>
      <c r="H58" s="8" t="s">
        <v>33</v>
      </c>
      <c r="I58" s="8">
        <v>1053.0</v>
      </c>
      <c r="J58" s="4" t="str">
        <f t="shared" si="1"/>
        <v>Poland</v>
      </c>
      <c r="K58" s="4" t="str">
        <f t="shared" si="2"/>
        <v>Warsaw</v>
      </c>
      <c r="L58" s="4" t="b">
        <v>0</v>
      </c>
    </row>
    <row r="59">
      <c r="A59" s="8">
        <v>59.0</v>
      </c>
      <c r="B59" s="8" t="s">
        <v>44</v>
      </c>
      <c r="C59" s="8" t="s">
        <v>37</v>
      </c>
      <c r="D59" s="8" t="s">
        <v>35</v>
      </c>
      <c r="E59" s="17">
        <v>45763.0</v>
      </c>
      <c r="F59" s="16">
        <v>74.71</v>
      </c>
      <c r="G59" s="8" t="s">
        <v>36</v>
      </c>
      <c r="H59" s="8" t="s">
        <v>30</v>
      </c>
      <c r="I59" s="8">
        <v>1068.0</v>
      </c>
      <c r="J59" s="4" t="str">
        <f t="shared" si="1"/>
        <v>Ukraine</v>
      </c>
      <c r="K59" s="4" t="str">
        <f t="shared" si="2"/>
        <v>Kyiv</v>
      </c>
      <c r="L59" s="4" t="b">
        <v>0</v>
      </c>
    </row>
    <row r="60">
      <c r="A60" s="8">
        <v>60.0</v>
      </c>
      <c r="B60" s="8" t="s">
        <v>44</v>
      </c>
      <c r="C60" s="8" t="s">
        <v>37</v>
      </c>
      <c r="D60" s="8" t="s">
        <v>43</v>
      </c>
      <c r="E60" s="17">
        <v>45757.0</v>
      </c>
      <c r="F60" s="16">
        <v>13.23</v>
      </c>
      <c r="G60" s="8" t="s">
        <v>58</v>
      </c>
      <c r="H60" s="8" t="s">
        <v>33</v>
      </c>
      <c r="I60" s="8">
        <v>1096.0</v>
      </c>
      <c r="J60" s="4" t="str">
        <f t="shared" si="1"/>
        <v>Ukraine</v>
      </c>
      <c r="K60" s="4" t="str">
        <f t="shared" si="2"/>
        <v>Kyiv</v>
      </c>
      <c r="L60" s="4" t="b">
        <v>1</v>
      </c>
    </row>
    <row r="61">
      <c r="A61" s="8">
        <v>61.0</v>
      </c>
      <c r="B61" s="8" t="s">
        <v>44</v>
      </c>
      <c r="C61" s="16" t="s">
        <v>61</v>
      </c>
      <c r="D61" s="8" t="s">
        <v>32</v>
      </c>
      <c r="E61" s="17">
        <v>45717.0</v>
      </c>
      <c r="F61" s="16">
        <v>51.32</v>
      </c>
      <c r="G61" s="8" t="s">
        <v>36</v>
      </c>
      <c r="H61" s="8" t="s">
        <v>41</v>
      </c>
      <c r="I61" s="8">
        <v>1043.0</v>
      </c>
      <c r="J61" s="4" t="str">
        <f t="shared" si="1"/>
        <v>Ukraine</v>
      </c>
      <c r="K61" s="4" t="str">
        <f t="shared" si="2"/>
        <v>Kyiv</v>
      </c>
      <c r="L61" s="4" t="b">
        <v>0</v>
      </c>
    </row>
    <row r="62">
      <c r="A62" s="8">
        <v>62.0</v>
      </c>
      <c r="B62" s="8" t="s">
        <v>26</v>
      </c>
      <c r="C62" s="8" t="s">
        <v>45</v>
      </c>
      <c r="D62" s="8" t="s">
        <v>28</v>
      </c>
      <c r="E62" s="17">
        <v>45693.0</v>
      </c>
      <c r="F62" s="16">
        <v>51.41</v>
      </c>
      <c r="G62" s="8" t="s">
        <v>40</v>
      </c>
      <c r="H62" s="8" t="s">
        <v>30</v>
      </c>
      <c r="I62" s="8">
        <v>1060.0</v>
      </c>
      <c r="J62" s="4" t="str">
        <f t="shared" si="1"/>
        <v>Poland</v>
      </c>
      <c r="K62" s="4" t="str">
        <f t="shared" si="2"/>
        <v>Warsaw</v>
      </c>
      <c r="L62" s="4" t="b">
        <v>0</v>
      </c>
    </row>
    <row r="63">
      <c r="A63" s="8">
        <v>63.0</v>
      </c>
      <c r="B63" s="8" t="s">
        <v>44</v>
      </c>
      <c r="C63" s="8" t="s">
        <v>45</v>
      </c>
      <c r="D63" s="8" t="s">
        <v>32</v>
      </c>
      <c r="E63" s="17">
        <v>45740.0</v>
      </c>
      <c r="F63" s="16">
        <v>28.11</v>
      </c>
      <c r="G63" s="8" t="s">
        <v>36</v>
      </c>
      <c r="H63" s="8" t="s">
        <v>41</v>
      </c>
      <c r="I63" s="8">
        <v>1070.0</v>
      </c>
      <c r="J63" s="4" t="str">
        <f t="shared" si="1"/>
        <v>Poland</v>
      </c>
      <c r="K63" s="4" t="str">
        <f t="shared" si="2"/>
        <v>Warsaw</v>
      </c>
      <c r="L63" s="4" t="b">
        <v>1</v>
      </c>
    </row>
    <row r="64">
      <c r="A64" s="8">
        <v>64.0</v>
      </c>
      <c r="B64" s="8" t="s">
        <v>38</v>
      </c>
      <c r="C64" s="8" t="s">
        <v>37</v>
      </c>
      <c r="D64" s="8" t="s">
        <v>43</v>
      </c>
      <c r="E64" s="17">
        <v>45725.0</v>
      </c>
      <c r="F64" s="16">
        <v>28.88</v>
      </c>
      <c r="G64" s="8" t="s">
        <v>29</v>
      </c>
      <c r="H64" s="8" t="s">
        <v>30</v>
      </c>
      <c r="I64" s="8">
        <v>1024.0</v>
      </c>
      <c r="J64" s="4" t="str">
        <f t="shared" si="1"/>
        <v>Ukraine</v>
      </c>
      <c r="K64" s="4" t="str">
        <f t="shared" si="2"/>
        <v>Kyiv</v>
      </c>
      <c r="L64" s="4" t="b">
        <v>1</v>
      </c>
    </row>
    <row r="65">
      <c r="A65" s="8">
        <v>65.0</v>
      </c>
      <c r="B65" s="8" t="s">
        <v>38</v>
      </c>
      <c r="C65" s="8" t="s">
        <v>27</v>
      </c>
      <c r="D65" s="8" t="s">
        <v>28</v>
      </c>
      <c r="E65" s="17">
        <v>45698.0</v>
      </c>
      <c r="F65" s="16">
        <v>73.84</v>
      </c>
      <c r="G65" s="8" t="s">
        <v>36</v>
      </c>
      <c r="H65" s="8" t="s">
        <v>33</v>
      </c>
      <c r="I65" s="8">
        <v>1024.0</v>
      </c>
      <c r="J65" s="4" t="str">
        <f t="shared" si="1"/>
        <v>Czech Republic</v>
      </c>
      <c r="K65" s="4" t="str">
        <f t="shared" si="2"/>
        <v>Prague</v>
      </c>
      <c r="L65" s="4" t="b">
        <v>1</v>
      </c>
    </row>
    <row r="66">
      <c r="A66" s="8">
        <v>66.0</v>
      </c>
      <c r="B66" s="8" t="s">
        <v>31</v>
      </c>
      <c r="C66" s="8" t="s">
        <v>37</v>
      </c>
      <c r="D66" s="8" t="s">
        <v>32</v>
      </c>
      <c r="E66" s="17">
        <v>45695.0</v>
      </c>
      <c r="F66" s="16">
        <v>9.32</v>
      </c>
      <c r="G66" s="8" t="s">
        <v>29</v>
      </c>
      <c r="H66" s="8" t="s">
        <v>30</v>
      </c>
      <c r="I66" s="8">
        <v>1037.0</v>
      </c>
      <c r="J66" s="4" t="str">
        <f t="shared" si="1"/>
        <v>Ukraine</v>
      </c>
      <c r="K66" s="4" t="str">
        <f t="shared" si="2"/>
        <v>Kyiv</v>
      </c>
      <c r="L66" s="4" t="b">
        <v>0</v>
      </c>
    </row>
    <row r="67">
      <c r="A67" s="8">
        <v>67.0</v>
      </c>
      <c r="B67" s="8" t="s">
        <v>44</v>
      </c>
      <c r="C67" s="8" t="s">
        <v>45</v>
      </c>
      <c r="D67" s="8" t="s">
        <v>32</v>
      </c>
      <c r="E67" s="17">
        <v>45747.0</v>
      </c>
      <c r="F67" s="16">
        <v>46.84</v>
      </c>
      <c r="G67" s="8" t="s">
        <v>40</v>
      </c>
      <c r="H67" s="8" t="s">
        <v>33</v>
      </c>
      <c r="I67" s="8">
        <v>1032.0</v>
      </c>
      <c r="J67" s="4" t="str">
        <f t="shared" si="1"/>
        <v>Poland</v>
      </c>
      <c r="K67" s="4" t="str">
        <f t="shared" si="2"/>
        <v>Warsaw</v>
      </c>
      <c r="L67" s="4" t="b">
        <v>1</v>
      </c>
    </row>
    <row r="68">
      <c r="A68" s="8">
        <v>68.0</v>
      </c>
      <c r="B68" s="8" t="s">
        <v>34</v>
      </c>
      <c r="C68" s="8" t="s">
        <v>45</v>
      </c>
      <c r="D68" s="8" t="s">
        <v>35</v>
      </c>
      <c r="E68" s="17">
        <v>45778.0</v>
      </c>
      <c r="F68" s="16">
        <v>70.21</v>
      </c>
      <c r="G68" s="8" t="s">
        <v>40</v>
      </c>
      <c r="H68" s="8" t="s">
        <v>33</v>
      </c>
      <c r="I68" s="8">
        <v>1072.0</v>
      </c>
      <c r="J68" s="4" t="str">
        <f t="shared" si="1"/>
        <v>Poland</v>
      </c>
      <c r="K68" s="4" t="str">
        <f t="shared" si="2"/>
        <v>Warsaw</v>
      </c>
      <c r="L68" s="4" t="b">
        <v>0</v>
      </c>
    </row>
    <row r="69">
      <c r="A69" s="8">
        <v>69.0</v>
      </c>
      <c r="B69" s="8" t="s">
        <v>31</v>
      </c>
      <c r="C69" s="8" t="s">
        <v>45</v>
      </c>
      <c r="D69" s="8" t="s">
        <v>35</v>
      </c>
      <c r="E69" s="17">
        <v>45696.0</v>
      </c>
      <c r="F69" s="16">
        <v>26.44</v>
      </c>
      <c r="G69" s="8" t="s">
        <v>58</v>
      </c>
      <c r="H69" s="8" t="s">
        <v>41</v>
      </c>
      <c r="I69" s="8">
        <v>1056.0</v>
      </c>
      <c r="J69" s="4" t="str">
        <f t="shared" si="1"/>
        <v>Poland</v>
      </c>
      <c r="K69" s="4" t="str">
        <f t="shared" si="2"/>
        <v>Warsaw</v>
      </c>
      <c r="L69" s="4" t="b">
        <v>0</v>
      </c>
    </row>
    <row r="70">
      <c r="A70" s="8">
        <v>70.0</v>
      </c>
      <c r="B70" s="8" t="s">
        <v>44</v>
      </c>
      <c r="C70" s="8" t="s">
        <v>37</v>
      </c>
      <c r="D70" s="8" t="s">
        <v>32</v>
      </c>
      <c r="E70" s="17">
        <v>45696.0</v>
      </c>
      <c r="F70" s="16">
        <v>95.02</v>
      </c>
      <c r="G70" s="8" t="s">
        <v>40</v>
      </c>
      <c r="H70" s="8" t="s">
        <v>30</v>
      </c>
      <c r="I70" s="8">
        <v>1027.0</v>
      </c>
      <c r="J70" s="4" t="str">
        <f t="shared" si="1"/>
        <v>Ukraine</v>
      </c>
      <c r="K70" s="4" t="str">
        <f t="shared" si="2"/>
        <v>Kyiv</v>
      </c>
      <c r="L70" s="4" t="b">
        <v>0</v>
      </c>
    </row>
    <row r="71">
      <c r="A71" s="8">
        <v>71.0</v>
      </c>
      <c r="B71" s="8" t="s">
        <v>31</v>
      </c>
      <c r="C71" s="8" t="s">
        <v>27</v>
      </c>
      <c r="D71" s="8" t="s">
        <v>28</v>
      </c>
      <c r="E71" s="17">
        <v>45691.0</v>
      </c>
      <c r="F71" s="16">
        <v>43.81</v>
      </c>
      <c r="G71" s="8" t="s">
        <v>58</v>
      </c>
      <c r="H71" s="8" t="s">
        <v>41</v>
      </c>
      <c r="I71" s="8">
        <v>1004.0</v>
      </c>
      <c r="J71" s="4" t="str">
        <f t="shared" si="1"/>
        <v>Czech Republic</v>
      </c>
      <c r="K71" s="4" t="str">
        <f t="shared" si="2"/>
        <v>Prague</v>
      </c>
      <c r="L71" s="4" t="b">
        <v>1</v>
      </c>
    </row>
    <row r="72">
      <c r="A72" s="8">
        <v>72.0</v>
      </c>
      <c r="B72" s="8" t="s">
        <v>26</v>
      </c>
      <c r="C72" s="8" t="s">
        <v>42</v>
      </c>
      <c r="D72" s="8" t="s">
        <v>32</v>
      </c>
      <c r="E72" s="17">
        <v>45687.0</v>
      </c>
      <c r="F72" s="16">
        <v>79.84</v>
      </c>
      <c r="G72" s="8" t="s">
        <v>40</v>
      </c>
      <c r="H72" s="8" t="s">
        <v>41</v>
      </c>
      <c r="I72" s="8">
        <v>1014.0</v>
      </c>
      <c r="J72" s="4" t="str">
        <f t="shared" si="1"/>
        <v>Germany</v>
      </c>
      <c r="K72" s="4" t="str">
        <f t="shared" si="2"/>
        <v>Berlin</v>
      </c>
      <c r="L72" s="4" t="b">
        <v>0</v>
      </c>
    </row>
    <row r="73">
      <c r="A73" s="8">
        <v>73.0</v>
      </c>
      <c r="B73" s="8" t="s">
        <v>31</v>
      </c>
      <c r="C73" s="8" t="s">
        <v>37</v>
      </c>
      <c r="D73" s="8" t="s">
        <v>28</v>
      </c>
      <c r="E73" s="17">
        <v>45727.0</v>
      </c>
      <c r="F73" s="16">
        <v>34.22</v>
      </c>
      <c r="G73" s="8" t="s">
        <v>36</v>
      </c>
      <c r="H73" s="8" t="s">
        <v>41</v>
      </c>
      <c r="I73" s="8">
        <v>1015.0</v>
      </c>
      <c r="J73" s="4" t="str">
        <f t="shared" si="1"/>
        <v>Ukraine</v>
      </c>
      <c r="K73" s="4" t="str">
        <f t="shared" si="2"/>
        <v>Kyiv</v>
      </c>
      <c r="L73" s="4" t="b">
        <v>0</v>
      </c>
    </row>
    <row r="74">
      <c r="A74" s="8">
        <v>74.0</v>
      </c>
      <c r="B74" s="8" t="s">
        <v>44</v>
      </c>
      <c r="C74" s="8" t="s">
        <v>37</v>
      </c>
      <c r="D74" s="8" t="s">
        <v>35</v>
      </c>
      <c r="E74" s="17">
        <v>45717.0</v>
      </c>
      <c r="F74" s="16">
        <v>89.5</v>
      </c>
      <c r="G74" s="8" t="s">
        <v>36</v>
      </c>
      <c r="H74" s="8" t="s">
        <v>30</v>
      </c>
      <c r="I74" s="8">
        <v>1032.0</v>
      </c>
      <c r="J74" s="4" t="str">
        <f t="shared" si="1"/>
        <v>Ukraine</v>
      </c>
      <c r="K74" s="4" t="str">
        <f t="shared" si="2"/>
        <v>Kyiv</v>
      </c>
      <c r="L74" s="4" t="b">
        <v>0</v>
      </c>
    </row>
    <row r="75">
      <c r="A75" s="8">
        <v>75.0</v>
      </c>
      <c r="B75" s="8" t="s">
        <v>38</v>
      </c>
      <c r="C75" s="8" t="s">
        <v>45</v>
      </c>
      <c r="D75" s="8" t="s">
        <v>43</v>
      </c>
      <c r="E75" s="17">
        <v>45661.0</v>
      </c>
      <c r="F75" s="16">
        <v>21.64</v>
      </c>
      <c r="G75" s="8" t="s">
        <v>58</v>
      </c>
      <c r="H75" s="8" t="s">
        <v>41</v>
      </c>
      <c r="I75" s="8">
        <v>1023.0</v>
      </c>
      <c r="J75" s="4" t="str">
        <f t="shared" si="1"/>
        <v>Poland</v>
      </c>
      <c r="K75" s="4" t="str">
        <f t="shared" si="2"/>
        <v>Warsaw</v>
      </c>
      <c r="L75" s="4" t="b">
        <v>0</v>
      </c>
    </row>
    <row r="76">
      <c r="A76" s="8">
        <v>76.0</v>
      </c>
      <c r="B76" s="8" t="s">
        <v>44</v>
      </c>
      <c r="C76" s="23" t="s">
        <v>68</v>
      </c>
      <c r="D76" s="8" t="s">
        <v>35</v>
      </c>
      <c r="E76" s="17">
        <v>45732.0</v>
      </c>
      <c r="F76" s="16">
        <v>68.66</v>
      </c>
      <c r="G76" s="8" t="s">
        <v>40</v>
      </c>
      <c r="H76" s="8" t="s">
        <v>41</v>
      </c>
      <c r="I76" s="8">
        <v>1052.0</v>
      </c>
      <c r="J76" s="4" t="str">
        <f t="shared" si="1"/>
        <v>Poland</v>
      </c>
      <c r="K76" s="4" t="str">
        <f t="shared" si="2"/>
        <v>Warsaw</v>
      </c>
      <c r="L76" s="4" t="b">
        <v>0</v>
      </c>
    </row>
    <row r="77">
      <c r="A77" s="8">
        <v>77.0</v>
      </c>
      <c r="B77" s="8" t="s">
        <v>44</v>
      </c>
      <c r="C77" s="8" t="s">
        <v>45</v>
      </c>
      <c r="D77" s="8" t="s">
        <v>35</v>
      </c>
      <c r="E77" s="17">
        <v>45746.0</v>
      </c>
      <c r="F77" s="16">
        <v>16.01</v>
      </c>
      <c r="G77" s="8" t="s">
        <v>58</v>
      </c>
      <c r="H77" s="8" t="s">
        <v>30</v>
      </c>
      <c r="I77" s="8">
        <v>1000.0</v>
      </c>
      <c r="J77" s="4" t="str">
        <f t="shared" si="1"/>
        <v>Poland</v>
      </c>
      <c r="K77" s="4" t="str">
        <f t="shared" si="2"/>
        <v>Warsaw</v>
      </c>
      <c r="L77" s="4" t="b">
        <v>0</v>
      </c>
    </row>
    <row r="78">
      <c r="A78" s="8">
        <v>78.0</v>
      </c>
      <c r="B78" s="8" t="s">
        <v>44</v>
      </c>
      <c r="C78" s="8" t="s">
        <v>42</v>
      </c>
      <c r="D78" s="8" t="s">
        <v>32</v>
      </c>
      <c r="E78" s="17">
        <v>45742.0</v>
      </c>
      <c r="F78" s="16">
        <v>76.86</v>
      </c>
      <c r="G78" s="8" t="s">
        <v>58</v>
      </c>
      <c r="H78" s="8" t="s">
        <v>33</v>
      </c>
      <c r="I78" s="8">
        <v>1026.0</v>
      </c>
      <c r="J78" s="4" t="str">
        <f t="shared" si="1"/>
        <v>Germany</v>
      </c>
      <c r="K78" s="4" t="str">
        <f t="shared" si="2"/>
        <v>Berlin</v>
      </c>
      <c r="L78" s="4" t="b">
        <v>0</v>
      </c>
    </row>
    <row r="79">
      <c r="A79" s="8">
        <v>79.0</v>
      </c>
      <c r="B79" s="8" t="s">
        <v>26</v>
      </c>
      <c r="C79" s="8" t="s">
        <v>42</v>
      </c>
      <c r="D79" s="8" t="s">
        <v>35</v>
      </c>
      <c r="E79" s="17">
        <v>45692.0</v>
      </c>
      <c r="F79" s="16">
        <v>62.84</v>
      </c>
      <c r="G79" s="8" t="s">
        <v>40</v>
      </c>
      <c r="H79" s="8" t="s">
        <v>30</v>
      </c>
      <c r="I79" s="8">
        <v>1020.0</v>
      </c>
      <c r="J79" s="4" t="str">
        <f t="shared" si="1"/>
        <v>Germany</v>
      </c>
      <c r="K79" s="4" t="str">
        <f t="shared" si="2"/>
        <v>Berlin</v>
      </c>
      <c r="L79" s="4" t="b">
        <v>1</v>
      </c>
    </row>
    <row r="80">
      <c r="A80" s="8">
        <v>80.0</v>
      </c>
      <c r="B80" s="8" t="s">
        <v>38</v>
      </c>
      <c r="C80" s="8" t="s">
        <v>42</v>
      </c>
      <c r="D80" s="8" t="s">
        <v>32</v>
      </c>
      <c r="E80" s="17">
        <v>45697.0</v>
      </c>
      <c r="F80" s="16">
        <v>15.78</v>
      </c>
      <c r="G80" s="8" t="s">
        <v>29</v>
      </c>
      <c r="H80" s="8" t="s">
        <v>30</v>
      </c>
      <c r="I80" s="8">
        <v>1019.0</v>
      </c>
      <c r="J80" s="4" t="str">
        <f t="shared" si="1"/>
        <v>Germany</v>
      </c>
      <c r="K80" s="4" t="str">
        <f t="shared" si="2"/>
        <v>Berlin</v>
      </c>
      <c r="L80" s="4" t="b">
        <v>0</v>
      </c>
    </row>
    <row r="81">
      <c r="A81" s="8">
        <v>81.0</v>
      </c>
      <c r="B81" s="8" t="s">
        <v>26</v>
      </c>
      <c r="C81" s="8" t="s">
        <v>37</v>
      </c>
      <c r="D81" s="8" t="s">
        <v>35</v>
      </c>
      <c r="E81" s="17">
        <v>45721.0</v>
      </c>
      <c r="F81" s="16">
        <v>28.15</v>
      </c>
      <c r="G81" s="8" t="s">
        <v>40</v>
      </c>
      <c r="H81" s="8" t="s">
        <v>41</v>
      </c>
      <c r="I81" s="8">
        <v>1024.0</v>
      </c>
      <c r="J81" s="4" t="str">
        <f t="shared" si="1"/>
        <v>Ukraine</v>
      </c>
      <c r="K81" s="4" t="str">
        <f t="shared" si="2"/>
        <v>Kyiv</v>
      </c>
      <c r="L81" s="4" t="b">
        <v>0</v>
      </c>
    </row>
    <row r="82">
      <c r="A82" s="8">
        <v>82.0</v>
      </c>
      <c r="B82" s="8" t="s">
        <v>31</v>
      </c>
      <c r="C82" s="8" t="s">
        <v>45</v>
      </c>
      <c r="D82" s="8" t="s">
        <v>43</v>
      </c>
      <c r="E82" s="17">
        <v>45775.0</v>
      </c>
      <c r="F82" s="16">
        <v>37.29</v>
      </c>
      <c r="G82" s="8" t="s">
        <v>36</v>
      </c>
      <c r="H82" s="8" t="s">
        <v>33</v>
      </c>
      <c r="I82" s="8">
        <v>1036.0</v>
      </c>
      <c r="J82" s="4" t="str">
        <f t="shared" si="1"/>
        <v>Poland</v>
      </c>
      <c r="K82" s="4" t="str">
        <f t="shared" si="2"/>
        <v>Warsaw</v>
      </c>
      <c r="L82" s="4" t="b">
        <v>0</v>
      </c>
    </row>
    <row r="83">
      <c r="A83" s="8">
        <v>83.0</v>
      </c>
      <c r="B83" s="8" t="s">
        <v>38</v>
      </c>
      <c r="C83" s="8" t="s">
        <v>42</v>
      </c>
      <c r="D83" s="8" t="s">
        <v>28</v>
      </c>
      <c r="E83" s="17">
        <v>45750.0</v>
      </c>
      <c r="F83" s="16">
        <v>36.58</v>
      </c>
      <c r="G83" s="8" t="s">
        <v>58</v>
      </c>
      <c r="H83" s="8" t="s">
        <v>41</v>
      </c>
      <c r="I83" s="8">
        <v>1041.0</v>
      </c>
      <c r="J83" s="4" t="str">
        <f t="shared" si="1"/>
        <v>Germany</v>
      </c>
      <c r="K83" s="4" t="str">
        <f t="shared" si="2"/>
        <v>Berlin</v>
      </c>
      <c r="L83" s="4" t="b">
        <v>0</v>
      </c>
    </row>
    <row r="84">
      <c r="A84" s="8">
        <v>84.0</v>
      </c>
      <c r="B84" s="8" t="s">
        <v>31</v>
      </c>
      <c r="C84" s="8" t="s">
        <v>42</v>
      </c>
      <c r="D84" s="8" t="s">
        <v>28</v>
      </c>
      <c r="E84" s="17">
        <v>45769.0</v>
      </c>
      <c r="F84" s="16">
        <v>35.23</v>
      </c>
      <c r="G84" s="8" t="s">
        <v>58</v>
      </c>
      <c r="H84" s="8" t="s">
        <v>30</v>
      </c>
      <c r="I84" s="8">
        <v>1048.0</v>
      </c>
      <c r="J84" s="4" t="str">
        <f t="shared" si="1"/>
        <v>Germany</v>
      </c>
      <c r="K84" s="4" t="str">
        <f t="shared" si="2"/>
        <v>Berlin</v>
      </c>
      <c r="L84" s="4" t="b">
        <v>0</v>
      </c>
    </row>
    <row r="85">
      <c r="A85" s="8">
        <v>85.0</v>
      </c>
      <c r="B85" s="8" t="s">
        <v>31</v>
      </c>
      <c r="C85" s="8" t="s">
        <v>42</v>
      </c>
      <c r="D85" s="8" t="s">
        <v>32</v>
      </c>
      <c r="E85" s="17">
        <v>45707.0</v>
      </c>
      <c r="F85" s="16">
        <v>36.54</v>
      </c>
      <c r="G85" s="8" t="s">
        <v>29</v>
      </c>
      <c r="H85" s="8" t="s">
        <v>41</v>
      </c>
      <c r="I85" s="8">
        <v>1012.0</v>
      </c>
      <c r="J85" s="4" t="str">
        <f t="shared" si="1"/>
        <v>Germany</v>
      </c>
      <c r="K85" s="4" t="str">
        <f t="shared" si="2"/>
        <v>Berlin</v>
      </c>
      <c r="L85" s="4" t="b">
        <v>0</v>
      </c>
    </row>
    <row r="86">
      <c r="A86" s="8">
        <v>86.0</v>
      </c>
      <c r="B86" s="8" t="s">
        <v>34</v>
      </c>
      <c r="C86" s="16" t="s">
        <v>67</v>
      </c>
      <c r="D86" s="8" t="s">
        <v>35</v>
      </c>
      <c r="E86" s="17">
        <v>45725.0</v>
      </c>
      <c r="F86" s="16">
        <v>12.11</v>
      </c>
      <c r="G86" s="8" t="s">
        <v>36</v>
      </c>
      <c r="H86" s="8" t="s">
        <v>41</v>
      </c>
      <c r="I86" s="8">
        <v>1079.0</v>
      </c>
      <c r="J86" s="4" t="str">
        <f t="shared" si="1"/>
        <v>Czech Republic</v>
      </c>
      <c r="K86" s="4" t="str">
        <f t="shared" si="2"/>
        <v>Prague</v>
      </c>
      <c r="L86" s="4" t="b">
        <v>0</v>
      </c>
    </row>
    <row r="87">
      <c r="A87" s="8">
        <v>87.0</v>
      </c>
      <c r="B87" s="8" t="s">
        <v>34</v>
      </c>
      <c r="C87" s="8" t="s">
        <v>37</v>
      </c>
      <c r="D87" s="8" t="s">
        <v>35</v>
      </c>
      <c r="E87" s="17">
        <v>45746.0</v>
      </c>
      <c r="F87" s="16">
        <v>89.31</v>
      </c>
      <c r="G87" s="8" t="s">
        <v>58</v>
      </c>
      <c r="H87" s="8" t="s">
        <v>30</v>
      </c>
      <c r="I87" s="8">
        <v>1004.0</v>
      </c>
      <c r="J87" s="4" t="str">
        <f t="shared" si="1"/>
        <v>Ukraine</v>
      </c>
      <c r="K87" s="4" t="str">
        <f t="shared" si="2"/>
        <v>Kyiv</v>
      </c>
      <c r="L87" s="4" t="b">
        <v>0</v>
      </c>
    </row>
    <row r="88">
      <c r="A88" s="8">
        <v>88.0</v>
      </c>
      <c r="B88" s="8" t="s">
        <v>26</v>
      </c>
      <c r="C88" s="8" t="s">
        <v>27</v>
      </c>
      <c r="D88" s="8" t="s">
        <v>32</v>
      </c>
      <c r="E88" s="17">
        <v>45737.0</v>
      </c>
      <c r="F88" s="16">
        <v>65.21</v>
      </c>
      <c r="G88" s="8" t="s">
        <v>29</v>
      </c>
      <c r="H88" s="8" t="s">
        <v>41</v>
      </c>
      <c r="I88" s="8">
        <v>1021.0</v>
      </c>
      <c r="J88" s="4" t="str">
        <f t="shared" si="1"/>
        <v>Czech Republic</v>
      </c>
      <c r="K88" s="4" t="str">
        <f t="shared" si="2"/>
        <v>Prague</v>
      </c>
      <c r="L88" s="4" t="b">
        <v>0</v>
      </c>
    </row>
    <row r="89">
      <c r="A89" s="8">
        <v>89.0</v>
      </c>
      <c r="B89" s="8" t="s">
        <v>34</v>
      </c>
      <c r="C89" s="8" t="s">
        <v>45</v>
      </c>
      <c r="D89" s="8" t="s">
        <v>43</v>
      </c>
      <c r="E89" s="17">
        <v>45746.0</v>
      </c>
      <c r="F89" s="16">
        <v>40.61</v>
      </c>
      <c r="G89" s="8" t="s">
        <v>40</v>
      </c>
      <c r="H89" s="8" t="s">
        <v>33</v>
      </c>
      <c r="I89" s="8">
        <v>1067.0</v>
      </c>
      <c r="J89" s="4" t="str">
        <f t="shared" si="1"/>
        <v>Poland</v>
      </c>
      <c r="K89" s="4" t="str">
        <f t="shared" si="2"/>
        <v>Warsaw</v>
      </c>
      <c r="L89" s="4" t="b">
        <v>0</v>
      </c>
    </row>
    <row r="90">
      <c r="A90" s="8">
        <v>90.0</v>
      </c>
      <c r="B90" s="8" t="s">
        <v>31</v>
      </c>
      <c r="C90" s="8" t="s">
        <v>27</v>
      </c>
      <c r="D90" s="8" t="s">
        <v>28</v>
      </c>
      <c r="E90" s="17">
        <v>45710.0</v>
      </c>
      <c r="F90" s="16">
        <v>63.87</v>
      </c>
      <c r="G90" s="8" t="s">
        <v>40</v>
      </c>
      <c r="H90" s="8" t="s">
        <v>41</v>
      </c>
      <c r="I90" s="8">
        <v>1074.0</v>
      </c>
      <c r="J90" s="4" t="str">
        <f t="shared" si="1"/>
        <v>Czech Republic</v>
      </c>
      <c r="K90" s="4" t="str">
        <f t="shared" si="2"/>
        <v>Prague</v>
      </c>
      <c r="L90" s="4" t="b">
        <v>1</v>
      </c>
    </row>
    <row r="91">
      <c r="A91" s="8">
        <v>91.0</v>
      </c>
      <c r="B91" s="8" t="s">
        <v>26</v>
      </c>
      <c r="C91" s="8" t="s">
        <v>42</v>
      </c>
      <c r="D91" s="8" t="s">
        <v>43</v>
      </c>
      <c r="E91" s="17">
        <v>45676.0</v>
      </c>
      <c r="F91" s="16">
        <v>49.2</v>
      </c>
      <c r="G91" s="8" t="s">
        <v>36</v>
      </c>
      <c r="H91" s="8" t="s">
        <v>30</v>
      </c>
      <c r="I91" s="8">
        <v>1069.0</v>
      </c>
      <c r="J91" s="4" t="str">
        <f t="shared" si="1"/>
        <v>Germany</v>
      </c>
      <c r="K91" s="4" t="str">
        <f t="shared" si="2"/>
        <v>Berlin</v>
      </c>
      <c r="L91" s="4" t="b">
        <v>0</v>
      </c>
    </row>
    <row r="92">
      <c r="A92" s="8">
        <v>92.0</v>
      </c>
      <c r="B92" s="8" t="s">
        <v>26</v>
      </c>
      <c r="C92" s="8" t="s">
        <v>37</v>
      </c>
      <c r="D92" s="8" t="s">
        <v>35</v>
      </c>
      <c r="E92" s="17">
        <v>45678.0</v>
      </c>
      <c r="F92" s="16">
        <v>33.7</v>
      </c>
      <c r="G92" s="8" t="s">
        <v>58</v>
      </c>
      <c r="H92" s="8" t="s">
        <v>41</v>
      </c>
      <c r="I92" s="8">
        <v>1013.0</v>
      </c>
      <c r="J92" s="4" t="str">
        <f t="shared" si="1"/>
        <v>Ukraine</v>
      </c>
      <c r="K92" s="4" t="str">
        <f t="shared" si="2"/>
        <v>Kyiv</v>
      </c>
      <c r="L92" s="4" t="b">
        <v>0</v>
      </c>
    </row>
    <row r="93">
      <c r="A93" s="8">
        <v>93.0</v>
      </c>
      <c r="B93" s="8" t="s">
        <v>26</v>
      </c>
      <c r="C93" s="8" t="s">
        <v>37</v>
      </c>
      <c r="D93" s="8" t="s">
        <v>43</v>
      </c>
      <c r="E93" s="21">
        <v>45688.0</v>
      </c>
      <c r="F93" s="16">
        <v>42.6</v>
      </c>
      <c r="G93" s="8" t="s">
        <v>29</v>
      </c>
      <c r="H93" s="8" t="s">
        <v>30</v>
      </c>
      <c r="I93" s="8">
        <v>1087.0</v>
      </c>
      <c r="J93" s="4" t="str">
        <f t="shared" si="1"/>
        <v>Ukraine</v>
      </c>
      <c r="K93" s="4" t="str">
        <f t="shared" si="2"/>
        <v>Kyiv</v>
      </c>
      <c r="L93" s="4" t="b">
        <v>1</v>
      </c>
    </row>
    <row r="94">
      <c r="A94" s="8">
        <v>94.0</v>
      </c>
      <c r="B94" s="8" t="s">
        <v>34</v>
      </c>
      <c r="C94" s="8" t="s">
        <v>42</v>
      </c>
      <c r="D94" s="8" t="s">
        <v>43</v>
      </c>
      <c r="E94" s="17">
        <v>45757.0</v>
      </c>
      <c r="F94" s="16">
        <v>81.18</v>
      </c>
      <c r="G94" s="8" t="s">
        <v>40</v>
      </c>
      <c r="H94" s="8" t="s">
        <v>30</v>
      </c>
      <c r="I94" s="8">
        <v>1024.0</v>
      </c>
      <c r="J94" s="4" t="str">
        <f t="shared" si="1"/>
        <v>Germany</v>
      </c>
      <c r="K94" s="4" t="str">
        <f t="shared" si="2"/>
        <v>Berlin</v>
      </c>
      <c r="L94" s="4" t="b">
        <v>0</v>
      </c>
    </row>
    <row r="95">
      <c r="A95" s="8">
        <v>95.0</v>
      </c>
      <c r="B95" s="8" t="s">
        <v>31</v>
      </c>
      <c r="C95" s="8" t="s">
        <v>45</v>
      </c>
      <c r="D95" s="8" t="s">
        <v>32</v>
      </c>
      <c r="E95" s="17">
        <v>45737.0</v>
      </c>
      <c r="F95" s="16">
        <v>60.06</v>
      </c>
      <c r="G95" s="8" t="s">
        <v>40</v>
      </c>
      <c r="H95" s="8" t="s">
        <v>33</v>
      </c>
      <c r="I95" s="8">
        <v>1037.0</v>
      </c>
      <c r="J95" s="4" t="str">
        <f t="shared" si="1"/>
        <v>Poland</v>
      </c>
      <c r="K95" s="4" t="str">
        <f t="shared" si="2"/>
        <v>Warsaw</v>
      </c>
      <c r="L95" s="4" t="b">
        <v>1</v>
      </c>
    </row>
    <row r="96">
      <c r="A96" s="8">
        <v>96.0</v>
      </c>
      <c r="B96" s="8" t="s">
        <v>31</v>
      </c>
      <c r="C96" s="8" t="s">
        <v>27</v>
      </c>
      <c r="D96" s="8" t="s">
        <v>28</v>
      </c>
      <c r="E96" s="17">
        <v>45699.0</v>
      </c>
      <c r="F96" s="16">
        <v>39.76</v>
      </c>
      <c r="G96" s="8" t="s">
        <v>36</v>
      </c>
      <c r="H96" s="8" t="s">
        <v>33</v>
      </c>
      <c r="I96" s="8">
        <v>1032.0</v>
      </c>
      <c r="J96" s="4" t="str">
        <f t="shared" si="1"/>
        <v>Czech Republic</v>
      </c>
      <c r="K96" s="4" t="str">
        <f t="shared" si="2"/>
        <v>Prague</v>
      </c>
      <c r="L96" s="4" t="b">
        <v>1</v>
      </c>
    </row>
    <row r="97">
      <c r="A97" s="8">
        <v>97.0</v>
      </c>
      <c r="B97" s="8" t="s">
        <v>44</v>
      </c>
      <c r="C97" s="8" t="s">
        <v>37</v>
      </c>
      <c r="D97" s="8" t="s">
        <v>43</v>
      </c>
      <c r="E97" s="17">
        <v>45774.0</v>
      </c>
      <c r="F97" s="16">
        <v>12.15</v>
      </c>
      <c r="G97" s="8" t="s">
        <v>40</v>
      </c>
      <c r="H97" s="8" t="s">
        <v>30</v>
      </c>
      <c r="I97" s="8">
        <v>1092.0</v>
      </c>
      <c r="J97" s="4" t="str">
        <f t="shared" si="1"/>
        <v>Ukraine</v>
      </c>
      <c r="K97" s="4" t="str">
        <f t="shared" si="2"/>
        <v>Kyiv</v>
      </c>
      <c r="L97" s="4" t="b">
        <v>1</v>
      </c>
    </row>
    <row r="98">
      <c r="A98" s="8">
        <v>98.0</v>
      </c>
      <c r="B98" s="8" t="s">
        <v>38</v>
      </c>
      <c r="C98" s="8" t="s">
        <v>37</v>
      </c>
      <c r="D98" s="8" t="s">
        <v>32</v>
      </c>
      <c r="E98" s="17">
        <v>45744.0</v>
      </c>
      <c r="F98" s="16"/>
      <c r="G98" s="8" t="s">
        <v>29</v>
      </c>
      <c r="H98" s="8" t="s">
        <v>41</v>
      </c>
      <c r="I98" s="8">
        <v>1047.0</v>
      </c>
      <c r="J98" s="4" t="str">
        <f t="shared" si="1"/>
        <v>Ukraine</v>
      </c>
      <c r="K98" s="4" t="str">
        <f t="shared" si="2"/>
        <v>Kyiv</v>
      </c>
      <c r="L98" s="4" t="b">
        <v>0</v>
      </c>
    </row>
    <row r="99">
      <c r="A99" s="8">
        <v>99.0</v>
      </c>
      <c r="B99" s="8" t="s">
        <v>26</v>
      </c>
      <c r="C99" s="8" t="s">
        <v>42</v>
      </c>
      <c r="D99" s="8" t="s">
        <v>43</v>
      </c>
      <c r="E99" s="17">
        <v>45744.0</v>
      </c>
      <c r="F99" s="16">
        <v>7.38</v>
      </c>
      <c r="G99" s="8" t="s">
        <v>36</v>
      </c>
      <c r="H99" s="8" t="s">
        <v>30</v>
      </c>
      <c r="I99" s="8">
        <v>1028.0</v>
      </c>
      <c r="J99" s="4" t="str">
        <f t="shared" si="1"/>
        <v>Germany</v>
      </c>
      <c r="K99" s="4" t="str">
        <f t="shared" si="2"/>
        <v>Berlin</v>
      </c>
      <c r="L99" s="4" t="b">
        <v>0</v>
      </c>
    </row>
    <row r="100">
      <c r="A100" s="8">
        <v>100.0</v>
      </c>
      <c r="B100" s="8" t="s">
        <v>44</v>
      </c>
      <c r="C100" s="8" t="s">
        <v>37</v>
      </c>
      <c r="D100" s="8" t="s">
        <v>35</v>
      </c>
      <c r="E100" s="17">
        <v>45740.0</v>
      </c>
      <c r="F100" s="16"/>
      <c r="G100" s="8" t="s">
        <v>29</v>
      </c>
      <c r="H100" s="8" t="s">
        <v>41</v>
      </c>
      <c r="I100" s="8">
        <v>1063.0</v>
      </c>
      <c r="J100" s="4" t="str">
        <f t="shared" si="1"/>
        <v>Ukraine</v>
      </c>
      <c r="K100" s="4" t="str">
        <f t="shared" si="2"/>
        <v>Kyiv</v>
      </c>
      <c r="L100" s="4" t="b">
        <v>0</v>
      </c>
    </row>
    <row r="101">
      <c r="A101" s="8">
        <v>101.0</v>
      </c>
      <c r="B101" s="8" t="s">
        <v>38</v>
      </c>
      <c r="C101" s="8" t="s">
        <v>27</v>
      </c>
      <c r="D101" s="8" t="s">
        <v>35</v>
      </c>
      <c r="E101" s="17">
        <v>45672.0</v>
      </c>
      <c r="F101" s="16">
        <v>75.6</v>
      </c>
      <c r="G101" s="8" t="s">
        <v>58</v>
      </c>
      <c r="H101" s="8" t="s">
        <v>30</v>
      </c>
      <c r="I101" s="8">
        <v>1095.0</v>
      </c>
      <c r="J101" s="4" t="str">
        <f t="shared" si="1"/>
        <v>Czech Republic</v>
      </c>
      <c r="K101" s="4" t="str">
        <f t="shared" si="2"/>
        <v>Prague</v>
      </c>
      <c r="L101" s="4" t="b">
        <v>0</v>
      </c>
    </row>
    <row r="102">
      <c r="A102" s="8">
        <v>102.0</v>
      </c>
      <c r="B102" s="8" t="s">
        <v>44</v>
      </c>
      <c r="C102" s="8" t="s">
        <v>45</v>
      </c>
      <c r="D102" s="8" t="s">
        <v>35</v>
      </c>
      <c r="E102" s="17">
        <v>45751.0</v>
      </c>
      <c r="F102" s="16">
        <v>31.58</v>
      </c>
      <c r="G102" s="8" t="s">
        <v>36</v>
      </c>
      <c r="H102" s="8" t="s">
        <v>33</v>
      </c>
      <c r="I102" s="8">
        <v>1056.0</v>
      </c>
      <c r="J102" s="4" t="str">
        <f t="shared" si="1"/>
        <v>Poland</v>
      </c>
      <c r="K102" s="4" t="str">
        <f t="shared" si="2"/>
        <v>Warsaw</v>
      </c>
      <c r="L102" s="4" t="b">
        <v>0</v>
      </c>
    </row>
    <row r="103">
      <c r="A103" s="8">
        <v>103.0</v>
      </c>
      <c r="B103" s="8" t="s">
        <v>26</v>
      </c>
      <c r="C103" s="8" t="s">
        <v>45</v>
      </c>
      <c r="D103" s="8" t="s">
        <v>43</v>
      </c>
      <c r="E103" s="17">
        <v>45714.0</v>
      </c>
      <c r="F103" s="16">
        <v>39.07</v>
      </c>
      <c r="G103" s="8" t="s">
        <v>58</v>
      </c>
      <c r="H103" s="8" t="s">
        <v>41</v>
      </c>
      <c r="I103" s="8">
        <v>1024.0</v>
      </c>
      <c r="J103" s="4" t="str">
        <f t="shared" si="1"/>
        <v>Poland</v>
      </c>
      <c r="K103" s="4" t="str">
        <f t="shared" si="2"/>
        <v>Warsaw</v>
      </c>
      <c r="L103" s="4" t="b">
        <v>0</v>
      </c>
    </row>
    <row r="104">
      <c r="A104" s="8">
        <v>104.0</v>
      </c>
      <c r="B104" s="8" t="s">
        <v>44</v>
      </c>
      <c r="C104" s="8" t="s">
        <v>45</v>
      </c>
      <c r="D104" s="8" t="s">
        <v>28</v>
      </c>
      <c r="E104" s="17">
        <v>45673.0</v>
      </c>
      <c r="F104" s="16">
        <v>7.03</v>
      </c>
      <c r="G104" s="8" t="s">
        <v>36</v>
      </c>
      <c r="H104" s="8" t="s">
        <v>33</v>
      </c>
      <c r="I104" s="8">
        <v>1016.0</v>
      </c>
      <c r="J104" s="4" t="str">
        <f t="shared" si="1"/>
        <v>Poland</v>
      </c>
      <c r="K104" s="4" t="str">
        <f t="shared" si="2"/>
        <v>Warsaw</v>
      </c>
      <c r="L104" s="4" t="b">
        <v>0</v>
      </c>
    </row>
    <row r="105">
      <c r="A105" s="8">
        <v>105.0</v>
      </c>
      <c r="B105" s="8" t="s">
        <v>34</v>
      </c>
      <c r="C105" s="8" t="s">
        <v>27</v>
      </c>
      <c r="D105" s="8" t="s">
        <v>28</v>
      </c>
      <c r="E105" s="17">
        <v>45758.0</v>
      </c>
      <c r="F105" s="16">
        <v>78.57</v>
      </c>
      <c r="G105" s="8" t="s">
        <v>29</v>
      </c>
      <c r="H105" s="8" t="s">
        <v>41</v>
      </c>
      <c r="I105" s="8">
        <v>1018.0</v>
      </c>
      <c r="J105" s="4" t="str">
        <f t="shared" si="1"/>
        <v>Czech Republic</v>
      </c>
      <c r="K105" s="4" t="str">
        <f t="shared" si="2"/>
        <v>Prague</v>
      </c>
      <c r="L105" s="4" t="b">
        <v>1</v>
      </c>
    </row>
    <row r="106">
      <c r="A106" s="8">
        <v>106.0</v>
      </c>
      <c r="B106" s="8" t="s">
        <v>31</v>
      </c>
      <c r="C106" s="8" t="s">
        <v>45</v>
      </c>
      <c r="D106" s="8" t="s">
        <v>32</v>
      </c>
      <c r="E106" s="17">
        <v>45674.0</v>
      </c>
      <c r="F106" s="16">
        <v>79.9</v>
      </c>
      <c r="G106" s="8" t="s">
        <v>36</v>
      </c>
      <c r="H106" s="8" t="s">
        <v>33</v>
      </c>
      <c r="I106" s="8">
        <v>1022.0</v>
      </c>
      <c r="J106" s="4" t="str">
        <f t="shared" si="1"/>
        <v>Poland</v>
      </c>
      <c r="K106" s="4" t="str">
        <f t="shared" si="2"/>
        <v>Warsaw</v>
      </c>
      <c r="L106" s="4" t="b">
        <v>1</v>
      </c>
    </row>
    <row r="107">
      <c r="A107" s="8">
        <v>107.0</v>
      </c>
      <c r="B107" s="8" t="s">
        <v>44</v>
      </c>
      <c r="C107" s="16" t="s">
        <v>69</v>
      </c>
      <c r="D107" s="8" t="s">
        <v>32</v>
      </c>
      <c r="E107" s="17">
        <v>45691.0</v>
      </c>
      <c r="F107" s="16">
        <v>53.76</v>
      </c>
      <c r="G107" s="8" t="s">
        <v>29</v>
      </c>
      <c r="H107" s="8" t="s">
        <v>41</v>
      </c>
      <c r="I107" s="8">
        <v>1064.0</v>
      </c>
      <c r="J107" s="4" t="str">
        <f t="shared" si="1"/>
        <v>Poland</v>
      </c>
      <c r="K107" s="4" t="str">
        <f t="shared" si="2"/>
        <v>Warsaw</v>
      </c>
      <c r="L107" s="4" t="b">
        <v>1</v>
      </c>
    </row>
    <row r="108">
      <c r="A108" s="8">
        <v>108.0</v>
      </c>
      <c r="B108" s="8" t="s">
        <v>34</v>
      </c>
      <c r="C108" s="8" t="s">
        <v>37</v>
      </c>
      <c r="D108" s="8" t="s">
        <v>35</v>
      </c>
      <c r="E108" s="17">
        <v>45686.0</v>
      </c>
      <c r="F108" s="16"/>
      <c r="G108" s="8" t="s">
        <v>58</v>
      </c>
      <c r="H108" s="8" t="s">
        <v>41</v>
      </c>
      <c r="I108" s="8">
        <v>1054.0</v>
      </c>
      <c r="J108" s="4" t="str">
        <f t="shared" si="1"/>
        <v>Ukraine</v>
      </c>
      <c r="K108" s="4" t="str">
        <f t="shared" si="2"/>
        <v>Kyiv</v>
      </c>
      <c r="L108" s="4" t="b">
        <v>0</v>
      </c>
    </row>
    <row r="109">
      <c r="A109" s="8">
        <v>109.0</v>
      </c>
      <c r="B109" s="8" t="s">
        <v>44</v>
      </c>
      <c r="C109" s="8" t="s">
        <v>45</v>
      </c>
      <c r="D109" s="8" t="s">
        <v>32</v>
      </c>
      <c r="E109" s="17">
        <v>45745.0</v>
      </c>
      <c r="F109" s="16">
        <v>16.99</v>
      </c>
      <c r="G109" s="8" t="s">
        <v>36</v>
      </c>
      <c r="H109" s="8" t="s">
        <v>41</v>
      </c>
      <c r="I109" s="8">
        <v>1076.0</v>
      </c>
      <c r="J109" s="4" t="str">
        <f t="shared" si="1"/>
        <v>Poland</v>
      </c>
      <c r="K109" s="4" t="str">
        <f t="shared" si="2"/>
        <v>Warsaw</v>
      </c>
      <c r="L109" s="4" t="b">
        <v>1</v>
      </c>
    </row>
    <row r="110">
      <c r="A110" s="8">
        <v>110.0</v>
      </c>
      <c r="B110" s="8" t="s">
        <v>38</v>
      </c>
      <c r="C110" s="8" t="s">
        <v>42</v>
      </c>
      <c r="D110" s="8" t="s">
        <v>32</v>
      </c>
      <c r="E110" s="17">
        <v>45725.0</v>
      </c>
      <c r="F110" s="16">
        <v>67.2</v>
      </c>
      <c r="G110" s="8" t="s">
        <v>40</v>
      </c>
      <c r="H110" s="8" t="s">
        <v>41</v>
      </c>
      <c r="I110" s="8">
        <v>1057.0</v>
      </c>
      <c r="J110" s="4" t="str">
        <f t="shared" si="1"/>
        <v>Germany</v>
      </c>
      <c r="K110" s="4" t="str">
        <f t="shared" si="2"/>
        <v>Berlin</v>
      </c>
      <c r="L110" s="4" t="b">
        <v>0</v>
      </c>
    </row>
    <row r="111">
      <c r="A111" s="8">
        <v>111.0</v>
      </c>
      <c r="B111" s="8" t="s">
        <v>26</v>
      </c>
      <c r="C111" s="8" t="s">
        <v>42</v>
      </c>
      <c r="D111" s="8" t="s">
        <v>35</v>
      </c>
      <c r="E111" s="17">
        <v>45771.0</v>
      </c>
      <c r="F111" s="16">
        <v>45.54</v>
      </c>
      <c r="G111" s="8" t="s">
        <v>36</v>
      </c>
      <c r="H111" s="8" t="s">
        <v>41</v>
      </c>
      <c r="I111" s="8">
        <v>1019.0</v>
      </c>
      <c r="J111" s="4" t="str">
        <f t="shared" si="1"/>
        <v>Germany</v>
      </c>
      <c r="K111" s="4" t="str">
        <f t="shared" si="2"/>
        <v>Berlin</v>
      </c>
      <c r="L111" s="4" t="b">
        <v>1</v>
      </c>
    </row>
    <row r="112">
      <c r="A112" s="8">
        <v>112.0</v>
      </c>
      <c r="B112" s="8" t="s">
        <v>34</v>
      </c>
      <c r="C112" s="8" t="s">
        <v>45</v>
      </c>
      <c r="D112" s="8" t="s">
        <v>32</v>
      </c>
      <c r="E112" s="17">
        <v>45745.0</v>
      </c>
      <c r="F112" s="16">
        <v>75.19</v>
      </c>
      <c r="G112" s="8" t="s">
        <v>40</v>
      </c>
      <c r="H112" s="8" t="s">
        <v>30</v>
      </c>
      <c r="I112" s="8">
        <v>1007.0</v>
      </c>
      <c r="J112" s="4" t="str">
        <f t="shared" si="1"/>
        <v>Poland</v>
      </c>
      <c r="K112" s="4" t="str">
        <f t="shared" si="2"/>
        <v>Warsaw</v>
      </c>
      <c r="L112" s="4" t="b">
        <v>1</v>
      </c>
    </row>
    <row r="113">
      <c r="A113" s="8">
        <v>113.0</v>
      </c>
      <c r="B113" s="8" t="s">
        <v>38</v>
      </c>
      <c r="C113" s="8" t="s">
        <v>37</v>
      </c>
      <c r="D113" s="8" t="s">
        <v>32</v>
      </c>
      <c r="E113" s="17">
        <v>45733.0</v>
      </c>
      <c r="F113" s="16">
        <v>94.41</v>
      </c>
      <c r="G113" s="8" t="s">
        <v>58</v>
      </c>
      <c r="H113" s="8" t="s">
        <v>30</v>
      </c>
      <c r="I113" s="8">
        <v>1006.0</v>
      </c>
      <c r="J113" s="4" t="str">
        <f t="shared" si="1"/>
        <v>Ukraine</v>
      </c>
      <c r="K113" s="4" t="str">
        <f t="shared" si="2"/>
        <v>Kyiv</v>
      </c>
      <c r="L113" s="4" t="b">
        <v>0</v>
      </c>
    </row>
    <row r="114">
      <c r="A114" s="8">
        <v>114.0</v>
      </c>
      <c r="B114" s="8" t="s">
        <v>26</v>
      </c>
      <c r="C114" s="8" t="s">
        <v>45</v>
      </c>
      <c r="D114" s="8" t="s">
        <v>28</v>
      </c>
      <c r="E114" s="17">
        <v>45694.0</v>
      </c>
      <c r="F114" s="16">
        <v>85.49</v>
      </c>
      <c r="G114" s="8" t="s">
        <v>36</v>
      </c>
      <c r="H114" s="8" t="s">
        <v>30</v>
      </c>
      <c r="I114" s="8">
        <v>1047.0</v>
      </c>
      <c r="J114" s="4" t="str">
        <f t="shared" si="1"/>
        <v>Poland</v>
      </c>
      <c r="K114" s="4" t="str">
        <f t="shared" si="2"/>
        <v>Warsaw</v>
      </c>
      <c r="L114" s="4" t="b">
        <v>0</v>
      </c>
    </row>
    <row r="115">
      <c r="A115" s="8">
        <v>115.0</v>
      </c>
      <c r="B115" s="8" t="s">
        <v>38</v>
      </c>
      <c r="C115" s="8" t="s">
        <v>27</v>
      </c>
      <c r="D115" s="8" t="s">
        <v>35</v>
      </c>
      <c r="E115" s="17">
        <v>45672.0</v>
      </c>
      <c r="F115" s="16">
        <v>82.75</v>
      </c>
      <c r="G115" s="8" t="s">
        <v>29</v>
      </c>
      <c r="H115" s="8" t="s">
        <v>30</v>
      </c>
      <c r="I115" s="8">
        <v>1084.0</v>
      </c>
      <c r="J115" s="4" t="str">
        <f t="shared" si="1"/>
        <v>Czech Republic</v>
      </c>
      <c r="K115" s="4" t="str">
        <f t="shared" si="2"/>
        <v>Prague</v>
      </c>
      <c r="L115" s="4" t="b">
        <v>0</v>
      </c>
    </row>
    <row r="116">
      <c r="A116" s="8">
        <v>116.0</v>
      </c>
      <c r="B116" s="8" t="s">
        <v>34</v>
      </c>
      <c r="C116" s="8" t="s">
        <v>27</v>
      </c>
      <c r="D116" s="8" t="s">
        <v>43</v>
      </c>
      <c r="E116" s="17">
        <v>45764.0</v>
      </c>
      <c r="F116" s="16">
        <v>37.28</v>
      </c>
      <c r="G116" s="8" t="s">
        <v>29</v>
      </c>
      <c r="H116" s="8" t="s">
        <v>33</v>
      </c>
      <c r="I116" s="8">
        <v>1018.0</v>
      </c>
      <c r="J116" s="4" t="str">
        <f t="shared" si="1"/>
        <v>Czech Republic</v>
      </c>
      <c r="K116" s="4" t="str">
        <f t="shared" si="2"/>
        <v>Prague</v>
      </c>
      <c r="L116" s="4" t="b">
        <v>0</v>
      </c>
    </row>
    <row r="117">
      <c r="A117" s="8">
        <v>117.0</v>
      </c>
      <c r="B117" s="8" t="s">
        <v>34</v>
      </c>
      <c r="C117" s="8" t="s">
        <v>27</v>
      </c>
      <c r="D117" s="8" t="s">
        <v>32</v>
      </c>
      <c r="E117" s="17">
        <v>45730.0</v>
      </c>
      <c r="F117" s="16">
        <v>40.74</v>
      </c>
      <c r="G117" s="8" t="s">
        <v>58</v>
      </c>
      <c r="H117" s="8" t="s">
        <v>41</v>
      </c>
      <c r="I117" s="8">
        <v>1020.0</v>
      </c>
      <c r="J117" s="4" t="str">
        <f t="shared" si="1"/>
        <v>Czech Republic</v>
      </c>
      <c r="K117" s="4" t="str">
        <f t="shared" si="2"/>
        <v>Prague</v>
      </c>
      <c r="L117" s="4" t="b">
        <v>0</v>
      </c>
    </row>
    <row r="118">
      <c r="A118" s="8">
        <v>118.0</v>
      </c>
      <c r="B118" s="8" t="s">
        <v>26</v>
      </c>
      <c r="C118" s="8" t="s">
        <v>45</v>
      </c>
      <c r="D118" s="8" t="s">
        <v>32</v>
      </c>
      <c r="E118" s="17">
        <v>45705.0</v>
      </c>
      <c r="F118" s="16">
        <v>9.73</v>
      </c>
      <c r="G118" s="8" t="s">
        <v>29</v>
      </c>
      <c r="H118" s="8" t="s">
        <v>41</v>
      </c>
      <c r="I118" s="8">
        <v>1056.0</v>
      </c>
      <c r="J118" s="4" t="str">
        <f t="shared" si="1"/>
        <v>Poland</v>
      </c>
      <c r="K118" s="4" t="str">
        <f t="shared" si="2"/>
        <v>Warsaw</v>
      </c>
      <c r="L118" s="4" t="b">
        <v>1</v>
      </c>
    </row>
    <row r="119">
      <c r="A119" s="8">
        <v>119.0</v>
      </c>
      <c r="B119" s="8" t="s">
        <v>38</v>
      </c>
      <c r="C119" s="8" t="s">
        <v>42</v>
      </c>
      <c r="D119" s="8" t="s">
        <v>35</v>
      </c>
      <c r="E119" s="17">
        <v>45742.0</v>
      </c>
      <c r="F119" s="16">
        <v>15.81</v>
      </c>
      <c r="G119" s="8" t="s">
        <v>58</v>
      </c>
      <c r="H119" s="8" t="s">
        <v>33</v>
      </c>
      <c r="I119" s="8">
        <v>1036.0</v>
      </c>
      <c r="J119" s="4" t="str">
        <f t="shared" si="1"/>
        <v>Germany</v>
      </c>
      <c r="K119" s="4" t="str">
        <f t="shared" si="2"/>
        <v>Berlin</v>
      </c>
      <c r="L119" s="4" t="b">
        <v>1</v>
      </c>
    </row>
    <row r="120">
      <c r="A120" s="8">
        <v>120.0</v>
      </c>
      <c r="B120" s="8" t="s">
        <v>44</v>
      </c>
      <c r="C120" s="8" t="s">
        <v>37</v>
      </c>
      <c r="D120" s="8" t="s">
        <v>32</v>
      </c>
      <c r="E120" s="17">
        <v>45744.0</v>
      </c>
      <c r="F120" s="16">
        <v>10.2</v>
      </c>
      <c r="G120" s="8" t="s">
        <v>40</v>
      </c>
      <c r="H120" s="8" t="s">
        <v>41</v>
      </c>
      <c r="I120" s="8">
        <v>1027.0</v>
      </c>
      <c r="J120" s="4" t="str">
        <f t="shared" si="1"/>
        <v>Ukraine</v>
      </c>
      <c r="K120" s="4" t="str">
        <f t="shared" si="2"/>
        <v>Kyiv</v>
      </c>
      <c r="L120" s="4" t="b">
        <v>0</v>
      </c>
    </row>
    <row r="121">
      <c r="A121" s="8">
        <v>121.0</v>
      </c>
      <c r="B121" s="8" t="s">
        <v>26</v>
      </c>
      <c r="C121" s="8" t="s">
        <v>37</v>
      </c>
      <c r="D121" s="8" t="s">
        <v>43</v>
      </c>
      <c r="E121" s="17">
        <v>45756.0</v>
      </c>
      <c r="F121" s="16">
        <v>45.91</v>
      </c>
      <c r="G121" s="8" t="s">
        <v>40</v>
      </c>
      <c r="H121" s="8" t="s">
        <v>41</v>
      </c>
      <c r="I121" s="8">
        <v>1068.0</v>
      </c>
      <c r="J121" s="4" t="str">
        <f t="shared" si="1"/>
        <v>Ukraine</v>
      </c>
      <c r="K121" s="4" t="str">
        <f t="shared" si="2"/>
        <v>Kyiv</v>
      </c>
      <c r="L121" s="4" t="b">
        <v>1</v>
      </c>
    </row>
    <row r="122">
      <c r="A122" s="8">
        <v>122.0</v>
      </c>
      <c r="B122" s="8" t="s">
        <v>38</v>
      </c>
      <c r="C122" s="8" t="s">
        <v>37</v>
      </c>
      <c r="D122" s="8" t="s">
        <v>32</v>
      </c>
      <c r="E122" s="17">
        <v>45748.0</v>
      </c>
      <c r="F122" s="16">
        <v>46.44</v>
      </c>
      <c r="G122" s="8" t="s">
        <v>58</v>
      </c>
      <c r="H122" s="8" t="s">
        <v>33</v>
      </c>
      <c r="I122" s="8">
        <v>1040.0</v>
      </c>
      <c r="J122" s="4" t="str">
        <f t="shared" si="1"/>
        <v>Ukraine</v>
      </c>
      <c r="K122" s="4" t="str">
        <f t="shared" si="2"/>
        <v>Kyiv</v>
      </c>
      <c r="L122" s="4" t="b">
        <v>0</v>
      </c>
    </row>
    <row r="123">
      <c r="A123" s="8">
        <v>123.0</v>
      </c>
      <c r="B123" s="8" t="s">
        <v>44</v>
      </c>
      <c r="C123" s="8" t="s">
        <v>42</v>
      </c>
      <c r="D123" s="8" t="s">
        <v>43</v>
      </c>
      <c r="E123" s="17">
        <v>45731.0</v>
      </c>
      <c r="F123" s="16"/>
      <c r="G123" s="8" t="s">
        <v>36</v>
      </c>
      <c r="H123" s="8" t="s">
        <v>33</v>
      </c>
      <c r="I123" s="8">
        <v>1079.0</v>
      </c>
      <c r="J123" s="4" t="str">
        <f t="shared" si="1"/>
        <v>Germany</v>
      </c>
      <c r="K123" s="4" t="str">
        <f t="shared" si="2"/>
        <v>Berlin</v>
      </c>
      <c r="L123" s="4" t="b">
        <v>0</v>
      </c>
    </row>
    <row r="124">
      <c r="A124" s="8">
        <v>124.0</v>
      </c>
      <c r="B124" s="8" t="s">
        <v>26</v>
      </c>
      <c r="C124" s="8" t="s">
        <v>45</v>
      </c>
      <c r="D124" s="8" t="s">
        <v>35</v>
      </c>
      <c r="E124" s="17">
        <v>45716.0</v>
      </c>
      <c r="F124" s="16">
        <v>60.94</v>
      </c>
      <c r="G124" s="8" t="s">
        <v>29</v>
      </c>
      <c r="H124" s="8" t="s">
        <v>41</v>
      </c>
      <c r="I124" s="8">
        <v>1039.0</v>
      </c>
      <c r="J124" s="4" t="str">
        <f t="shared" si="1"/>
        <v>Poland</v>
      </c>
      <c r="K124" s="4" t="str">
        <f t="shared" si="2"/>
        <v>Warsaw</v>
      </c>
      <c r="L124" s="4" t="b">
        <v>0</v>
      </c>
    </row>
    <row r="125">
      <c r="A125" s="8">
        <v>125.0</v>
      </c>
      <c r="B125" s="8" t="s">
        <v>26</v>
      </c>
      <c r="C125" s="8" t="s">
        <v>27</v>
      </c>
      <c r="D125" s="8" t="s">
        <v>32</v>
      </c>
      <c r="E125" s="17">
        <v>45753.0</v>
      </c>
      <c r="F125" s="16">
        <v>53.45</v>
      </c>
      <c r="G125" s="8" t="s">
        <v>36</v>
      </c>
      <c r="H125" s="8" t="s">
        <v>41</v>
      </c>
      <c r="I125" s="8">
        <v>1093.0</v>
      </c>
      <c r="J125" s="4" t="str">
        <f t="shared" si="1"/>
        <v>Czech Republic</v>
      </c>
      <c r="K125" s="4" t="str">
        <f t="shared" si="2"/>
        <v>Prague</v>
      </c>
      <c r="L125" s="4" t="b">
        <v>0</v>
      </c>
    </row>
    <row r="126">
      <c r="A126" s="8">
        <v>126.0</v>
      </c>
      <c r="B126" s="8" t="s">
        <v>31</v>
      </c>
      <c r="C126" s="8" t="s">
        <v>27</v>
      </c>
      <c r="D126" s="8" t="s">
        <v>32</v>
      </c>
      <c r="E126" s="17">
        <v>45762.0</v>
      </c>
      <c r="F126" s="16">
        <v>62.23</v>
      </c>
      <c r="G126" s="8" t="s">
        <v>29</v>
      </c>
      <c r="H126" s="8" t="s">
        <v>33</v>
      </c>
      <c r="I126" s="8">
        <v>1098.0</v>
      </c>
      <c r="J126" s="4" t="str">
        <f t="shared" si="1"/>
        <v>Czech Republic</v>
      </c>
      <c r="K126" s="4" t="str">
        <f t="shared" si="2"/>
        <v>Prague</v>
      </c>
      <c r="L126" s="4" t="b">
        <v>0</v>
      </c>
    </row>
    <row r="127">
      <c r="A127" s="8">
        <v>127.0</v>
      </c>
      <c r="B127" s="8" t="s">
        <v>38</v>
      </c>
      <c r="C127" s="8" t="s">
        <v>42</v>
      </c>
      <c r="D127" s="8" t="s">
        <v>43</v>
      </c>
      <c r="E127" s="17">
        <v>45738.0</v>
      </c>
      <c r="F127" s="16">
        <v>19.34</v>
      </c>
      <c r="G127" s="8" t="s">
        <v>29</v>
      </c>
      <c r="H127" s="8" t="s">
        <v>41</v>
      </c>
      <c r="I127" s="8">
        <v>1056.0</v>
      </c>
      <c r="J127" s="4" t="str">
        <f t="shared" si="1"/>
        <v>Germany</v>
      </c>
      <c r="K127" s="4" t="str">
        <f t="shared" si="2"/>
        <v>Berlin</v>
      </c>
      <c r="L127" s="4" t="b">
        <v>0</v>
      </c>
    </row>
    <row r="128">
      <c r="A128" s="8">
        <v>128.0</v>
      </c>
      <c r="B128" s="8" t="s">
        <v>26</v>
      </c>
      <c r="C128" s="8" t="s">
        <v>45</v>
      </c>
      <c r="D128" s="8" t="s">
        <v>43</v>
      </c>
      <c r="E128" s="17">
        <v>45738.0</v>
      </c>
      <c r="F128" s="16">
        <v>47.93</v>
      </c>
      <c r="G128" s="8" t="s">
        <v>29</v>
      </c>
      <c r="H128" s="8" t="s">
        <v>41</v>
      </c>
      <c r="I128" s="8">
        <v>1036.0</v>
      </c>
      <c r="J128" s="4" t="str">
        <f t="shared" si="1"/>
        <v>Poland</v>
      </c>
      <c r="K128" s="4" t="str">
        <f t="shared" si="2"/>
        <v>Warsaw</v>
      </c>
      <c r="L128" s="4" t="b">
        <v>0</v>
      </c>
    </row>
    <row r="129">
      <c r="A129" s="8">
        <v>129.0</v>
      </c>
      <c r="B129" s="8" t="s">
        <v>34</v>
      </c>
      <c r="C129" s="8" t="s">
        <v>42</v>
      </c>
      <c r="D129" s="8" t="s">
        <v>35</v>
      </c>
      <c r="E129" s="17">
        <v>45667.0</v>
      </c>
      <c r="F129" s="16">
        <v>75.2</v>
      </c>
      <c r="G129" s="8" t="s">
        <v>29</v>
      </c>
      <c r="H129" s="8" t="s">
        <v>41</v>
      </c>
      <c r="I129" s="8">
        <v>1073.0</v>
      </c>
      <c r="J129" s="4" t="str">
        <f t="shared" si="1"/>
        <v>Germany</v>
      </c>
      <c r="K129" s="4" t="str">
        <f t="shared" si="2"/>
        <v>Berlin</v>
      </c>
      <c r="L129" s="4" t="b">
        <v>1</v>
      </c>
    </row>
    <row r="130">
      <c r="A130" s="8">
        <v>130.0</v>
      </c>
      <c r="B130" s="8" t="s">
        <v>38</v>
      </c>
      <c r="C130" s="8" t="s">
        <v>42</v>
      </c>
      <c r="D130" s="8" t="s">
        <v>28</v>
      </c>
      <c r="E130" s="17">
        <v>45741.0</v>
      </c>
      <c r="F130" s="16">
        <v>82.04</v>
      </c>
      <c r="G130" s="8" t="s">
        <v>36</v>
      </c>
      <c r="H130" s="8" t="s">
        <v>30</v>
      </c>
      <c r="I130" s="8">
        <v>1010.0</v>
      </c>
      <c r="J130" s="4" t="str">
        <f t="shared" si="1"/>
        <v>Germany</v>
      </c>
      <c r="K130" s="4" t="str">
        <f t="shared" si="2"/>
        <v>Berlin</v>
      </c>
      <c r="L130" s="4" t="b">
        <v>0</v>
      </c>
    </row>
    <row r="131">
      <c r="A131" s="8">
        <v>131.0</v>
      </c>
      <c r="B131" s="8" t="s">
        <v>34</v>
      </c>
      <c r="C131" s="8" t="s">
        <v>27</v>
      </c>
      <c r="D131" s="8" t="s">
        <v>35</v>
      </c>
      <c r="E131" s="17">
        <v>45722.0</v>
      </c>
      <c r="F131" s="16">
        <v>62.93</v>
      </c>
      <c r="G131" s="8" t="s">
        <v>36</v>
      </c>
      <c r="H131" s="8" t="s">
        <v>41</v>
      </c>
      <c r="I131" s="8">
        <v>1036.0</v>
      </c>
      <c r="J131" s="4" t="str">
        <f t="shared" si="1"/>
        <v>Czech Republic</v>
      </c>
      <c r="K131" s="4" t="str">
        <f t="shared" si="2"/>
        <v>Prague</v>
      </c>
      <c r="L131" s="4" t="b">
        <v>0</v>
      </c>
    </row>
    <row r="132">
      <c r="A132" s="8">
        <v>132.0</v>
      </c>
      <c r="B132" s="8" t="s">
        <v>26</v>
      </c>
      <c r="C132" s="8" t="s">
        <v>45</v>
      </c>
      <c r="D132" s="8" t="s">
        <v>43</v>
      </c>
      <c r="E132" s="17">
        <v>45707.0</v>
      </c>
      <c r="F132" s="16">
        <v>69.45</v>
      </c>
      <c r="G132" s="8" t="s">
        <v>36</v>
      </c>
      <c r="H132" s="8" t="s">
        <v>41</v>
      </c>
      <c r="I132" s="8">
        <v>1092.0</v>
      </c>
      <c r="J132" s="4" t="str">
        <f t="shared" si="1"/>
        <v>Poland</v>
      </c>
      <c r="K132" s="4" t="str">
        <f t="shared" si="2"/>
        <v>Warsaw</v>
      </c>
      <c r="L132" s="4" t="b">
        <v>0</v>
      </c>
    </row>
    <row r="133">
      <c r="A133" s="8">
        <v>133.0</v>
      </c>
      <c r="B133" s="8" t="s">
        <v>38</v>
      </c>
      <c r="C133" s="8" t="s">
        <v>27</v>
      </c>
      <c r="D133" s="8" t="s">
        <v>43</v>
      </c>
      <c r="E133" s="17">
        <v>45767.0</v>
      </c>
      <c r="F133" s="16">
        <v>92.09</v>
      </c>
      <c r="G133" s="8" t="s">
        <v>36</v>
      </c>
      <c r="H133" s="8" t="s">
        <v>30</v>
      </c>
      <c r="I133" s="8">
        <v>1089.0</v>
      </c>
      <c r="J133" s="4" t="str">
        <f t="shared" si="1"/>
        <v>Czech Republic</v>
      </c>
      <c r="K133" s="4" t="str">
        <f t="shared" si="2"/>
        <v>Prague</v>
      </c>
      <c r="L133" s="4" t="b">
        <v>0</v>
      </c>
    </row>
    <row r="134">
      <c r="A134" s="8">
        <v>134.0</v>
      </c>
      <c r="B134" s="8" t="s">
        <v>38</v>
      </c>
      <c r="C134" s="8" t="s">
        <v>45</v>
      </c>
      <c r="D134" s="8" t="s">
        <v>43</v>
      </c>
      <c r="E134" s="17">
        <v>45742.0</v>
      </c>
      <c r="F134" s="16">
        <v>36.21</v>
      </c>
      <c r="G134" s="8" t="s">
        <v>40</v>
      </c>
      <c r="H134" s="8" t="s">
        <v>30</v>
      </c>
      <c r="I134" s="8">
        <v>1089.0</v>
      </c>
      <c r="J134" s="4" t="str">
        <f t="shared" si="1"/>
        <v>Poland</v>
      </c>
      <c r="K134" s="4" t="str">
        <f t="shared" si="2"/>
        <v>Warsaw</v>
      </c>
      <c r="L134" s="4" t="b">
        <v>0</v>
      </c>
    </row>
    <row r="135">
      <c r="A135" s="8">
        <v>135.0</v>
      </c>
      <c r="B135" s="8" t="s">
        <v>38</v>
      </c>
      <c r="C135" s="8" t="s">
        <v>45</v>
      </c>
      <c r="D135" s="8" t="s">
        <v>35</v>
      </c>
      <c r="E135" s="17">
        <v>45764.0</v>
      </c>
      <c r="F135" s="16"/>
      <c r="G135" s="8" t="s">
        <v>36</v>
      </c>
      <c r="H135" s="8" t="s">
        <v>33</v>
      </c>
      <c r="I135" s="8">
        <v>1027.0</v>
      </c>
      <c r="J135" s="4" t="str">
        <f t="shared" si="1"/>
        <v>Poland</v>
      </c>
      <c r="K135" s="4" t="str">
        <f t="shared" si="2"/>
        <v>Warsaw</v>
      </c>
      <c r="L135" s="4" t="b">
        <v>0</v>
      </c>
    </row>
    <row r="136">
      <c r="A136" s="8">
        <v>136.0</v>
      </c>
      <c r="B136" s="8" t="s">
        <v>44</v>
      </c>
      <c r="C136" s="8" t="s">
        <v>27</v>
      </c>
      <c r="D136" s="8" t="s">
        <v>28</v>
      </c>
      <c r="E136" s="17">
        <v>45701.0</v>
      </c>
      <c r="F136" s="16">
        <v>33.1</v>
      </c>
      <c r="G136" s="8" t="s">
        <v>29</v>
      </c>
      <c r="H136" s="8" t="s">
        <v>30</v>
      </c>
      <c r="I136" s="8">
        <v>1098.0</v>
      </c>
      <c r="J136" s="4" t="str">
        <f t="shared" si="1"/>
        <v>Czech Republic</v>
      </c>
      <c r="K136" s="4" t="str">
        <f t="shared" si="2"/>
        <v>Prague</v>
      </c>
      <c r="L136" s="4" t="b">
        <v>1</v>
      </c>
    </row>
    <row r="137">
      <c r="A137" s="8">
        <v>137.0</v>
      </c>
      <c r="B137" s="8" t="s">
        <v>38</v>
      </c>
      <c r="C137" s="8" t="s">
        <v>45</v>
      </c>
      <c r="D137" s="8" t="s">
        <v>43</v>
      </c>
      <c r="E137" s="17">
        <v>45727.0</v>
      </c>
      <c r="F137" s="16">
        <v>61.74</v>
      </c>
      <c r="G137" s="8" t="s">
        <v>40</v>
      </c>
      <c r="H137" s="8" t="s">
        <v>33</v>
      </c>
      <c r="I137" s="8">
        <v>1023.0</v>
      </c>
      <c r="J137" s="4" t="str">
        <f t="shared" si="1"/>
        <v>Poland</v>
      </c>
      <c r="K137" s="4" t="str">
        <f t="shared" si="2"/>
        <v>Warsaw</v>
      </c>
      <c r="L137" s="4" t="b">
        <v>0</v>
      </c>
    </row>
    <row r="138">
      <c r="A138" s="8">
        <v>138.0</v>
      </c>
      <c r="B138" s="8" t="s">
        <v>38</v>
      </c>
      <c r="C138" s="8" t="s">
        <v>27</v>
      </c>
      <c r="D138" s="8" t="s">
        <v>35</v>
      </c>
      <c r="E138" s="17">
        <v>45764.0</v>
      </c>
      <c r="F138" s="16">
        <v>73.36</v>
      </c>
      <c r="G138" s="8" t="s">
        <v>58</v>
      </c>
      <c r="H138" s="8" t="s">
        <v>30</v>
      </c>
      <c r="I138" s="8">
        <v>1036.0</v>
      </c>
      <c r="J138" s="4" t="str">
        <f t="shared" si="1"/>
        <v>Czech Republic</v>
      </c>
      <c r="K138" s="4" t="str">
        <f t="shared" si="2"/>
        <v>Prague</v>
      </c>
      <c r="L138" s="4" t="b">
        <v>0</v>
      </c>
    </row>
    <row r="139">
      <c r="A139" s="8">
        <v>139.0</v>
      </c>
      <c r="B139" s="8" t="s">
        <v>44</v>
      </c>
      <c r="C139" s="8" t="s">
        <v>27</v>
      </c>
      <c r="D139" s="8" t="s">
        <v>28</v>
      </c>
      <c r="E139" s="17">
        <v>45754.0</v>
      </c>
      <c r="F139" s="16">
        <v>49.56</v>
      </c>
      <c r="G139" s="8" t="s">
        <v>40</v>
      </c>
      <c r="H139" s="8" t="s">
        <v>41</v>
      </c>
      <c r="I139" s="8">
        <v>1086.0</v>
      </c>
      <c r="J139" s="4" t="str">
        <f t="shared" si="1"/>
        <v>Czech Republic</v>
      </c>
      <c r="K139" s="4" t="str">
        <f t="shared" si="2"/>
        <v>Prague</v>
      </c>
      <c r="L139" s="4" t="b">
        <v>1</v>
      </c>
    </row>
    <row r="140">
      <c r="A140" s="8">
        <v>140.0</v>
      </c>
      <c r="B140" s="8" t="s">
        <v>44</v>
      </c>
      <c r="C140" s="8" t="s">
        <v>37</v>
      </c>
      <c r="D140" s="8" t="s">
        <v>35</v>
      </c>
      <c r="E140" s="17">
        <v>45731.0</v>
      </c>
      <c r="F140" s="16">
        <v>20.4</v>
      </c>
      <c r="G140" s="8" t="s">
        <v>40</v>
      </c>
      <c r="H140" s="8" t="s">
        <v>30</v>
      </c>
      <c r="I140" s="8">
        <v>1017.0</v>
      </c>
      <c r="J140" s="4" t="str">
        <f t="shared" si="1"/>
        <v>Ukraine</v>
      </c>
      <c r="K140" s="4" t="str">
        <f t="shared" si="2"/>
        <v>Kyiv</v>
      </c>
      <c r="L140" s="4" t="b">
        <v>0</v>
      </c>
    </row>
    <row r="141">
      <c r="A141" s="8">
        <v>141.0</v>
      </c>
      <c r="B141" s="8" t="s">
        <v>44</v>
      </c>
      <c r="C141" s="8" t="s">
        <v>37</v>
      </c>
      <c r="D141" s="8" t="s">
        <v>32</v>
      </c>
      <c r="E141" s="17">
        <v>45769.0</v>
      </c>
      <c r="F141" s="16">
        <v>16.84</v>
      </c>
      <c r="G141" s="8" t="s">
        <v>29</v>
      </c>
      <c r="H141" s="8" t="s">
        <v>33</v>
      </c>
      <c r="I141" s="8">
        <v>1034.0</v>
      </c>
      <c r="J141" s="4" t="str">
        <f t="shared" si="1"/>
        <v>Ukraine</v>
      </c>
      <c r="K141" s="4" t="str">
        <f t="shared" si="2"/>
        <v>Kyiv</v>
      </c>
      <c r="L141" s="4" t="b">
        <v>0</v>
      </c>
    </row>
    <row r="142">
      <c r="A142" s="8">
        <v>142.0</v>
      </c>
      <c r="B142" s="8" t="s">
        <v>31</v>
      </c>
      <c r="C142" s="8" t="s">
        <v>42</v>
      </c>
      <c r="D142" s="8" t="s">
        <v>32</v>
      </c>
      <c r="E142" s="17">
        <v>45715.0</v>
      </c>
      <c r="F142" s="16">
        <v>47.86</v>
      </c>
      <c r="G142" s="8" t="s">
        <v>36</v>
      </c>
      <c r="H142" s="8" t="s">
        <v>33</v>
      </c>
      <c r="I142" s="8">
        <v>1053.0</v>
      </c>
      <c r="J142" s="4" t="str">
        <f t="shared" si="1"/>
        <v>Germany</v>
      </c>
      <c r="K142" s="4" t="str">
        <f t="shared" si="2"/>
        <v>Berlin</v>
      </c>
      <c r="L142" s="4" t="b">
        <v>0</v>
      </c>
    </row>
    <row r="143">
      <c r="A143" s="8">
        <v>143.0</v>
      </c>
      <c r="B143" s="8" t="s">
        <v>26</v>
      </c>
      <c r="C143" s="8" t="s">
        <v>27</v>
      </c>
      <c r="D143" s="8" t="s">
        <v>35</v>
      </c>
      <c r="E143" s="17">
        <v>45664.0</v>
      </c>
      <c r="F143" s="16">
        <v>7.68</v>
      </c>
      <c r="G143" s="8" t="s">
        <v>29</v>
      </c>
      <c r="H143" s="8" t="s">
        <v>30</v>
      </c>
      <c r="I143" s="8">
        <v>1083.0</v>
      </c>
      <c r="J143" s="4" t="str">
        <f t="shared" si="1"/>
        <v>Czech Republic</v>
      </c>
      <c r="K143" s="4" t="str">
        <f t="shared" si="2"/>
        <v>Prague</v>
      </c>
      <c r="L143" s="4" t="b">
        <v>0</v>
      </c>
    </row>
    <row r="144">
      <c r="A144" s="8">
        <v>144.0</v>
      </c>
      <c r="B144" s="8" t="s">
        <v>31</v>
      </c>
      <c r="C144" s="8" t="s">
        <v>45</v>
      </c>
      <c r="D144" s="8" t="s">
        <v>43</v>
      </c>
      <c r="E144" s="17">
        <v>45700.0</v>
      </c>
      <c r="F144" s="16">
        <v>83.96</v>
      </c>
      <c r="G144" s="8" t="s">
        <v>58</v>
      </c>
      <c r="H144" s="8" t="s">
        <v>41</v>
      </c>
      <c r="I144" s="8">
        <v>1078.0</v>
      </c>
      <c r="J144" s="4" t="str">
        <f t="shared" si="1"/>
        <v>Poland</v>
      </c>
      <c r="K144" s="4" t="str">
        <f t="shared" si="2"/>
        <v>Warsaw</v>
      </c>
      <c r="L144" s="4" t="b">
        <v>0</v>
      </c>
    </row>
    <row r="145">
      <c r="A145" s="8">
        <v>145.0</v>
      </c>
      <c r="B145" s="8" t="s">
        <v>34</v>
      </c>
      <c r="C145" s="8" t="s">
        <v>37</v>
      </c>
      <c r="D145" s="8" t="s">
        <v>28</v>
      </c>
      <c r="E145" s="17">
        <v>45658.0</v>
      </c>
      <c r="F145" s="16">
        <v>74.09</v>
      </c>
      <c r="G145" s="8" t="s">
        <v>58</v>
      </c>
      <c r="H145" s="8" t="s">
        <v>33</v>
      </c>
      <c r="I145" s="8">
        <v>1099.0</v>
      </c>
      <c r="J145" s="4" t="str">
        <f t="shared" si="1"/>
        <v>Ukraine</v>
      </c>
      <c r="K145" s="4" t="str">
        <f t="shared" si="2"/>
        <v>Kyiv</v>
      </c>
      <c r="L145" s="4" t="b">
        <v>0</v>
      </c>
    </row>
    <row r="146">
      <c r="A146" s="8">
        <v>146.0</v>
      </c>
      <c r="B146" s="8" t="s">
        <v>34</v>
      </c>
      <c r="C146" s="8" t="s">
        <v>45</v>
      </c>
      <c r="D146" s="8" t="s">
        <v>28</v>
      </c>
      <c r="E146" s="17">
        <v>45694.0</v>
      </c>
      <c r="F146" s="16">
        <v>48.43</v>
      </c>
      <c r="G146" s="8" t="s">
        <v>29</v>
      </c>
      <c r="H146" s="8" t="s">
        <v>41</v>
      </c>
      <c r="I146" s="8">
        <v>1076.0</v>
      </c>
      <c r="J146" s="4" t="str">
        <f t="shared" si="1"/>
        <v>Poland</v>
      </c>
      <c r="K146" s="4" t="str">
        <f t="shared" si="2"/>
        <v>Warsaw</v>
      </c>
      <c r="L146" s="4" t="b">
        <v>0</v>
      </c>
    </row>
    <row r="147">
      <c r="A147" s="8">
        <v>148.0</v>
      </c>
      <c r="B147" s="8" t="s">
        <v>34</v>
      </c>
      <c r="C147" s="8" t="s">
        <v>37</v>
      </c>
      <c r="D147" s="8" t="s">
        <v>32</v>
      </c>
      <c r="E147" s="17">
        <v>45711.0</v>
      </c>
      <c r="F147" s="16">
        <v>79.71</v>
      </c>
      <c r="G147" s="8" t="s">
        <v>29</v>
      </c>
      <c r="H147" s="8" t="s">
        <v>41</v>
      </c>
      <c r="I147" s="8">
        <v>1060.0</v>
      </c>
      <c r="J147" s="4" t="str">
        <f t="shared" si="1"/>
        <v>Ukraine</v>
      </c>
      <c r="K147" s="4" t="str">
        <f t="shared" si="2"/>
        <v>Kyiv</v>
      </c>
      <c r="L147" s="4" t="b">
        <v>0</v>
      </c>
    </row>
    <row r="148">
      <c r="A148" s="8">
        <v>149.0</v>
      </c>
      <c r="B148" s="8" t="s">
        <v>26</v>
      </c>
      <c r="C148" s="8" t="s">
        <v>37</v>
      </c>
      <c r="D148" s="8" t="s">
        <v>32</v>
      </c>
      <c r="E148" s="17">
        <v>45663.0</v>
      </c>
      <c r="F148" s="16">
        <v>27.91</v>
      </c>
      <c r="G148" s="8" t="s">
        <v>29</v>
      </c>
      <c r="H148" s="8" t="s">
        <v>30</v>
      </c>
      <c r="I148" s="8">
        <v>1094.0</v>
      </c>
      <c r="J148" s="4" t="str">
        <f t="shared" si="1"/>
        <v>Ukraine</v>
      </c>
      <c r="K148" s="4" t="str">
        <f t="shared" si="2"/>
        <v>Kyiv</v>
      </c>
      <c r="L148" s="4" t="b">
        <v>0</v>
      </c>
    </row>
    <row r="149">
      <c r="A149" s="8">
        <v>150.0</v>
      </c>
      <c r="B149" s="8" t="s">
        <v>34</v>
      </c>
      <c r="C149" s="8" t="s">
        <v>37</v>
      </c>
      <c r="D149" s="8" t="s">
        <v>43</v>
      </c>
      <c r="E149" s="17">
        <v>45754.0</v>
      </c>
      <c r="F149" s="16">
        <v>79.02</v>
      </c>
      <c r="G149" s="8" t="s">
        <v>58</v>
      </c>
      <c r="H149" s="8" t="s">
        <v>30</v>
      </c>
      <c r="I149" s="8">
        <v>1061.0</v>
      </c>
      <c r="J149" s="4" t="str">
        <f t="shared" si="1"/>
        <v>Ukraine</v>
      </c>
      <c r="K149" s="4" t="str">
        <f t="shared" si="2"/>
        <v>Kyiv</v>
      </c>
      <c r="L149" s="4" t="b">
        <v>1</v>
      </c>
    </row>
    <row r="150">
      <c r="A150" s="8">
        <v>151.0</v>
      </c>
      <c r="B150" s="8" t="s">
        <v>31</v>
      </c>
      <c r="C150" s="8" t="s">
        <v>45</v>
      </c>
      <c r="D150" s="8" t="s">
        <v>35</v>
      </c>
      <c r="E150" s="17">
        <v>45738.0</v>
      </c>
      <c r="F150" s="16">
        <v>80.16</v>
      </c>
      <c r="G150" s="8" t="s">
        <v>29</v>
      </c>
      <c r="H150" s="8" t="s">
        <v>41</v>
      </c>
      <c r="I150" s="8">
        <v>1039.0</v>
      </c>
      <c r="J150" s="4" t="str">
        <f t="shared" si="1"/>
        <v>Poland</v>
      </c>
      <c r="K150" s="4" t="str">
        <f t="shared" si="2"/>
        <v>Warsaw</v>
      </c>
      <c r="L150" s="4" t="b">
        <v>0</v>
      </c>
    </row>
    <row r="151">
      <c r="A151" s="8">
        <v>152.0</v>
      </c>
      <c r="B151" s="8" t="s">
        <v>38</v>
      </c>
      <c r="C151" s="8" t="s">
        <v>42</v>
      </c>
      <c r="D151" s="8" t="s">
        <v>43</v>
      </c>
      <c r="E151" s="17">
        <v>45723.0</v>
      </c>
      <c r="F151" s="16">
        <v>32.18</v>
      </c>
      <c r="G151" s="8" t="s">
        <v>29</v>
      </c>
      <c r="H151" s="8" t="s">
        <v>30</v>
      </c>
      <c r="I151" s="8">
        <v>1042.0</v>
      </c>
      <c r="J151" s="4" t="str">
        <f t="shared" si="1"/>
        <v>Germany</v>
      </c>
      <c r="K151" s="4" t="str">
        <f t="shared" si="2"/>
        <v>Berlin</v>
      </c>
      <c r="L151" s="4" t="b">
        <v>0</v>
      </c>
    </row>
    <row r="152">
      <c r="A152" s="8">
        <v>153.0</v>
      </c>
      <c r="B152" s="8" t="s">
        <v>26</v>
      </c>
      <c r="C152" s="8" t="s">
        <v>42</v>
      </c>
      <c r="D152" s="8" t="s">
        <v>35</v>
      </c>
      <c r="E152" s="17">
        <v>45692.0</v>
      </c>
      <c r="F152" s="16">
        <v>41.73</v>
      </c>
      <c r="G152" s="8" t="s">
        <v>40</v>
      </c>
      <c r="H152" s="8" t="s">
        <v>41</v>
      </c>
      <c r="I152" s="8">
        <v>1088.0</v>
      </c>
      <c r="J152" s="4" t="str">
        <f t="shared" si="1"/>
        <v>Germany</v>
      </c>
      <c r="K152" s="4" t="str">
        <f t="shared" si="2"/>
        <v>Berlin</v>
      </c>
      <c r="L152" s="4" t="b">
        <v>1</v>
      </c>
    </row>
    <row r="153">
      <c r="A153" s="8">
        <v>154.0</v>
      </c>
      <c r="B153" s="8" t="s">
        <v>38</v>
      </c>
      <c r="C153" s="8" t="s">
        <v>37</v>
      </c>
      <c r="D153" s="8" t="s">
        <v>32</v>
      </c>
      <c r="E153" s="17">
        <v>45721.0</v>
      </c>
      <c r="F153" s="16">
        <v>62.23</v>
      </c>
      <c r="G153" s="8" t="s">
        <v>40</v>
      </c>
      <c r="H153" s="8" t="s">
        <v>30</v>
      </c>
      <c r="I153" s="8">
        <v>1037.0</v>
      </c>
      <c r="J153" s="4" t="str">
        <f t="shared" si="1"/>
        <v>Ukraine</v>
      </c>
      <c r="K153" s="4" t="str">
        <f t="shared" si="2"/>
        <v>Kyiv</v>
      </c>
      <c r="L153" s="4" t="b">
        <v>0</v>
      </c>
    </row>
    <row r="154">
      <c r="A154" s="8">
        <v>155.0</v>
      </c>
      <c r="B154" s="8" t="s">
        <v>26</v>
      </c>
      <c r="C154" s="8" t="s">
        <v>37</v>
      </c>
      <c r="D154" s="8" t="s">
        <v>43</v>
      </c>
      <c r="E154" s="17">
        <v>45699.0</v>
      </c>
      <c r="F154" s="16">
        <v>20.83</v>
      </c>
      <c r="G154" s="8" t="s">
        <v>58</v>
      </c>
      <c r="H154" s="8" t="s">
        <v>41</v>
      </c>
      <c r="I154" s="8">
        <v>1057.0</v>
      </c>
      <c r="J154" s="4" t="str">
        <f t="shared" si="1"/>
        <v>Ukraine</v>
      </c>
      <c r="K154" s="4" t="str">
        <f t="shared" si="2"/>
        <v>Kyiv</v>
      </c>
      <c r="L154" s="4" t="b">
        <v>1</v>
      </c>
    </row>
    <row r="155">
      <c r="A155" s="8">
        <v>156.0</v>
      </c>
      <c r="B155" s="8" t="s">
        <v>26</v>
      </c>
      <c r="C155" s="8" t="s">
        <v>42</v>
      </c>
      <c r="D155" s="8" t="s">
        <v>43</v>
      </c>
      <c r="E155" s="17">
        <v>45663.0</v>
      </c>
      <c r="F155" s="16">
        <v>10.45</v>
      </c>
      <c r="G155" s="8" t="s">
        <v>58</v>
      </c>
      <c r="H155" s="8" t="s">
        <v>41</v>
      </c>
      <c r="I155" s="8">
        <v>1065.0</v>
      </c>
      <c r="J155" s="4" t="str">
        <f t="shared" si="1"/>
        <v>Germany</v>
      </c>
      <c r="K155" s="4" t="str">
        <f t="shared" si="2"/>
        <v>Berlin</v>
      </c>
      <c r="L155" s="4" t="b">
        <v>0</v>
      </c>
    </row>
    <row r="156">
      <c r="A156" s="8">
        <v>157.0</v>
      </c>
      <c r="B156" s="8" t="s">
        <v>31</v>
      </c>
      <c r="C156" s="8" t="s">
        <v>45</v>
      </c>
      <c r="D156" s="8" t="s">
        <v>28</v>
      </c>
      <c r="E156" s="17">
        <v>45760.0</v>
      </c>
      <c r="F156" s="16">
        <v>46.63</v>
      </c>
      <c r="G156" s="8" t="s">
        <v>40</v>
      </c>
      <c r="H156" s="8" t="s">
        <v>33</v>
      </c>
      <c r="I156" s="8">
        <v>1030.0</v>
      </c>
      <c r="J156" s="4" t="str">
        <f t="shared" si="1"/>
        <v>Poland</v>
      </c>
      <c r="K156" s="4" t="str">
        <f t="shared" si="2"/>
        <v>Warsaw</v>
      </c>
      <c r="L156" s="4" t="b">
        <v>0</v>
      </c>
    </row>
    <row r="157">
      <c r="A157" s="8">
        <v>158.0</v>
      </c>
      <c r="B157" s="8" t="s">
        <v>26</v>
      </c>
      <c r="C157" s="8" t="s">
        <v>42</v>
      </c>
      <c r="D157" s="8" t="s">
        <v>32</v>
      </c>
      <c r="E157" s="17">
        <v>45757.0</v>
      </c>
      <c r="F157" s="16">
        <v>95.14</v>
      </c>
      <c r="G157" s="8" t="s">
        <v>36</v>
      </c>
      <c r="H157" s="8" t="s">
        <v>41</v>
      </c>
      <c r="I157" s="8">
        <v>1097.0</v>
      </c>
      <c r="J157" s="4" t="str">
        <f t="shared" si="1"/>
        <v>Germany</v>
      </c>
      <c r="K157" s="4" t="str">
        <f t="shared" si="2"/>
        <v>Berlin</v>
      </c>
      <c r="L157" s="4" t="b">
        <v>0</v>
      </c>
    </row>
    <row r="158">
      <c r="A158" s="8">
        <v>159.0</v>
      </c>
      <c r="B158" s="8" t="s">
        <v>38</v>
      </c>
      <c r="C158" s="8" t="s">
        <v>37</v>
      </c>
      <c r="D158" s="8" t="s">
        <v>35</v>
      </c>
      <c r="E158" s="17">
        <v>45667.0</v>
      </c>
      <c r="F158" s="16">
        <v>96.25</v>
      </c>
      <c r="G158" s="8" t="s">
        <v>29</v>
      </c>
      <c r="H158" s="8" t="s">
        <v>30</v>
      </c>
      <c r="I158" s="8">
        <v>1023.0</v>
      </c>
      <c r="J158" s="4" t="str">
        <f t="shared" si="1"/>
        <v>Ukraine</v>
      </c>
      <c r="K158" s="4" t="str">
        <f t="shared" si="2"/>
        <v>Kyiv</v>
      </c>
      <c r="L158" s="4" t="b">
        <v>0</v>
      </c>
    </row>
    <row r="159">
      <c r="A159" s="8">
        <v>160.0</v>
      </c>
      <c r="B159" s="8" t="s">
        <v>38</v>
      </c>
      <c r="C159" s="8" t="s">
        <v>45</v>
      </c>
      <c r="D159" s="8" t="s">
        <v>43</v>
      </c>
      <c r="E159" s="17">
        <v>45721.0</v>
      </c>
      <c r="F159" s="16">
        <v>25.38</v>
      </c>
      <c r="G159" s="8" t="s">
        <v>36</v>
      </c>
      <c r="H159" s="8" t="s">
        <v>30</v>
      </c>
      <c r="I159" s="8">
        <v>1062.0</v>
      </c>
      <c r="J159" s="4" t="str">
        <f t="shared" si="1"/>
        <v>Poland</v>
      </c>
      <c r="K159" s="4" t="str">
        <f t="shared" si="2"/>
        <v>Warsaw</v>
      </c>
      <c r="L159" s="4" t="b">
        <v>0</v>
      </c>
    </row>
    <row r="160">
      <c r="A160" s="8">
        <v>161.0</v>
      </c>
      <c r="B160" s="8" t="s">
        <v>34</v>
      </c>
      <c r="C160" s="8" t="s">
        <v>42</v>
      </c>
      <c r="D160" s="8" t="s">
        <v>28</v>
      </c>
      <c r="E160" s="17">
        <v>45683.0</v>
      </c>
      <c r="F160" s="16">
        <v>13.34</v>
      </c>
      <c r="G160" s="8" t="s">
        <v>36</v>
      </c>
      <c r="H160" s="8" t="s">
        <v>30</v>
      </c>
      <c r="I160" s="8">
        <v>1044.0</v>
      </c>
      <c r="J160" s="4" t="str">
        <f t="shared" si="1"/>
        <v>Germany</v>
      </c>
      <c r="K160" s="4" t="str">
        <f t="shared" si="2"/>
        <v>Berlin</v>
      </c>
      <c r="L160" s="4" t="b">
        <v>0</v>
      </c>
    </row>
    <row r="161">
      <c r="A161" s="8">
        <v>162.0</v>
      </c>
      <c r="B161" s="8" t="s">
        <v>38</v>
      </c>
      <c r="C161" s="8" t="s">
        <v>37</v>
      </c>
      <c r="D161" s="8" t="s">
        <v>43</v>
      </c>
      <c r="E161" s="17">
        <v>45748.0</v>
      </c>
      <c r="F161" s="16">
        <v>93.1</v>
      </c>
      <c r="G161" s="8" t="s">
        <v>40</v>
      </c>
      <c r="H161" s="8" t="s">
        <v>41</v>
      </c>
      <c r="I161" s="8">
        <v>1065.0</v>
      </c>
      <c r="J161" s="4" t="str">
        <f t="shared" si="1"/>
        <v>Ukraine</v>
      </c>
      <c r="K161" s="4" t="str">
        <f t="shared" si="2"/>
        <v>Kyiv</v>
      </c>
      <c r="L161" s="4" t="b">
        <v>1</v>
      </c>
    </row>
    <row r="162">
      <c r="A162" s="8">
        <v>163.0</v>
      </c>
      <c r="B162" s="8" t="s">
        <v>31</v>
      </c>
      <c r="C162" s="8" t="s">
        <v>27</v>
      </c>
      <c r="D162" s="8" t="s">
        <v>28</v>
      </c>
      <c r="E162" s="17">
        <v>45686.0</v>
      </c>
      <c r="F162" s="16"/>
      <c r="G162" s="8" t="s">
        <v>36</v>
      </c>
      <c r="H162" s="8" t="s">
        <v>41</v>
      </c>
      <c r="I162" s="8">
        <v>1070.0</v>
      </c>
      <c r="J162" s="4" t="str">
        <f t="shared" si="1"/>
        <v>Czech Republic</v>
      </c>
      <c r="K162" s="4" t="str">
        <f t="shared" si="2"/>
        <v>Prague</v>
      </c>
      <c r="L162" s="4" t="b">
        <v>1</v>
      </c>
    </row>
    <row r="163">
      <c r="A163" s="8">
        <v>164.0</v>
      </c>
      <c r="B163" s="8" t="s">
        <v>34</v>
      </c>
      <c r="C163" s="8" t="s">
        <v>45</v>
      </c>
      <c r="D163" s="8" t="s">
        <v>43</v>
      </c>
      <c r="E163" s="17">
        <v>45674.0</v>
      </c>
      <c r="F163" s="16">
        <v>50.47</v>
      </c>
      <c r="G163" s="8" t="s">
        <v>58</v>
      </c>
      <c r="H163" s="8" t="s">
        <v>41</v>
      </c>
      <c r="I163" s="8">
        <v>1073.0</v>
      </c>
      <c r="J163" s="4" t="str">
        <f t="shared" si="1"/>
        <v>Poland</v>
      </c>
      <c r="K163" s="4" t="str">
        <f t="shared" si="2"/>
        <v>Warsaw</v>
      </c>
      <c r="L163" s="4" t="b">
        <v>0</v>
      </c>
    </row>
    <row r="164">
      <c r="A164" s="8">
        <v>165.0</v>
      </c>
      <c r="B164" s="8" t="s">
        <v>26</v>
      </c>
      <c r="C164" s="8" t="s">
        <v>45</v>
      </c>
      <c r="D164" s="8" t="s">
        <v>35</v>
      </c>
      <c r="E164" s="17">
        <v>45667.0</v>
      </c>
      <c r="F164" s="16">
        <v>17.19</v>
      </c>
      <c r="G164" s="8" t="s">
        <v>40</v>
      </c>
      <c r="H164" s="8" t="s">
        <v>33</v>
      </c>
      <c r="I164" s="8">
        <v>1055.0</v>
      </c>
      <c r="J164" s="4" t="str">
        <f t="shared" si="1"/>
        <v>Poland</v>
      </c>
      <c r="K164" s="4" t="str">
        <f t="shared" si="2"/>
        <v>Warsaw</v>
      </c>
      <c r="L164" s="4" t="b">
        <v>0</v>
      </c>
    </row>
    <row r="165">
      <c r="A165" s="8">
        <v>166.0</v>
      </c>
      <c r="B165" s="8" t="s">
        <v>34</v>
      </c>
      <c r="C165" s="8" t="s">
        <v>45</v>
      </c>
      <c r="D165" s="8" t="s">
        <v>28</v>
      </c>
      <c r="E165" s="17">
        <v>45722.0</v>
      </c>
      <c r="F165" s="16">
        <v>93.8</v>
      </c>
      <c r="G165" s="8" t="s">
        <v>40</v>
      </c>
      <c r="H165" s="8" t="s">
        <v>41</v>
      </c>
      <c r="I165" s="8">
        <v>1066.0</v>
      </c>
      <c r="J165" s="4" t="str">
        <f t="shared" si="1"/>
        <v>Poland</v>
      </c>
      <c r="K165" s="4" t="str">
        <f t="shared" si="2"/>
        <v>Warsaw</v>
      </c>
      <c r="L165" s="4" t="b">
        <v>0</v>
      </c>
    </row>
    <row r="166">
      <c r="A166" s="8">
        <v>167.0</v>
      </c>
      <c r="B166" s="8" t="s">
        <v>34</v>
      </c>
      <c r="C166" s="16" t="s">
        <v>61</v>
      </c>
      <c r="D166" s="8" t="s">
        <v>28</v>
      </c>
      <c r="E166" s="17">
        <v>45772.0</v>
      </c>
      <c r="F166" s="16">
        <v>16.89</v>
      </c>
      <c r="G166" s="8" t="s">
        <v>36</v>
      </c>
      <c r="H166" s="8" t="s">
        <v>30</v>
      </c>
      <c r="I166" s="8">
        <v>1068.0</v>
      </c>
      <c r="J166" s="4" t="str">
        <f t="shared" si="1"/>
        <v>Ukraine</v>
      </c>
      <c r="K166" s="4" t="str">
        <f t="shared" si="2"/>
        <v>Kyiv</v>
      </c>
      <c r="L166" s="4" t="b">
        <v>0</v>
      </c>
    </row>
    <row r="167">
      <c r="A167" s="8">
        <v>168.0</v>
      </c>
      <c r="B167" s="8" t="s">
        <v>31</v>
      </c>
      <c r="C167" s="8" t="s">
        <v>27</v>
      </c>
      <c r="D167" s="8" t="s">
        <v>28</v>
      </c>
      <c r="E167" s="17">
        <v>45669.0</v>
      </c>
      <c r="F167" s="16">
        <v>62.49</v>
      </c>
      <c r="G167" s="8" t="s">
        <v>29</v>
      </c>
      <c r="H167" s="8" t="s">
        <v>33</v>
      </c>
      <c r="I167" s="8">
        <v>1010.0</v>
      </c>
      <c r="J167" s="4" t="str">
        <f t="shared" si="1"/>
        <v>Czech Republic</v>
      </c>
      <c r="K167" s="4" t="str">
        <f t="shared" si="2"/>
        <v>Prague</v>
      </c>
      <c r="L167" s="4" t="b">
        <v>1</v>
      </c>
    </row>
    <row r="168">
      <c r="A168" s="8">
        <v>169.0</v>
      </c>
      <c r="B168" s="8" t="s">
        <v>38</v>
      </c>
      <c r="C168" s="8" t="s">
        <v>37</v>
      </c>
      <c r="D168" s="8" t="s">
        <v>28</v>
      </c>
      <c r="E168" s="17">
        <v>45663.0</v>
      </c>
      <c r="F168" s="16">
        <v>65.7</v>
      </c>
      <c r="G168" s="8" t="s">
        <v>58</v>
      </c>
      <c r="H168" s="8" t="s">
        <v>30</v>
      </c>
      <c r="I168" s="8">
        <v>1069.0</v>
      </c>
      <c r="J168" s="4" t="str">
        <f t="shared" si="1"/>
        <v>Ukraine</v>
      </c>
      <c r="K168" s="4" t="str">
        <f t="shared" si="2"/>
        <v>Kyiv</v>
      </c>
      <c r="L168" s="4" t="b">
        <v>0</v>
      </c>
    </row>
    <row r="169">
      <c r="A169" s="8">
        <v>170.0</v>
      </c>
      <c r="B169" s="8" t="s">
        <v>26</v>
      </c>
      <c r="C169" s="8" t="s">
        <v>42</v>
      </c>
      <c r="D169" s="8" t="s">
        <v>28</v>
      </c>
      <c r="E169" s="17">
        <v>45695.0</v>
      </c>
      <c r="F169" s="16">
        <v>33.26</v>
      </c>
      <c r="G169" s="8" t="s">
        <v>29</v>
      </c>
      <c r="H169" s="8" t="s">
        <v>30</v>
      </c>
      <c r="I169" s="8">
        <v>1007.0</v>
      </c>
      <c r="J169" s="4" t="str">
        <f t="shared" si="1"/>
        <v>Germany</v>
      </c>
      <c r="K169" s="4" t="str">
        <f t="shared" si="2"/>
        <v>Berlin</v>
      </c>
      <c r="L169" s="4" t="b">
        <v>0</v>
      </c>
    </row>
    <row r="170">
      <c r="A170" s="8">
        <v>171.0</v>
      </c>
      <c r="B170" s="8" t="s">
        <v>44</v>
      </c>
      <c r="C170" s="8" t="s">
        <v>42</v>
      </c>
      <c r="D170" s="8" t="s">
        <v>28</v>
      </c>
      <c r="E170" s="17">
        <v>45678.0</v>
      </c>
      <c r="F170" s="16">
        <v>86.84</v>
      </c>
      <c r="G170" s="8" t="s">
        <v>36</v>
      </c>
      <c r="H170" s="8" t="s">
        <v>30</v>
      </c>
      <c r="I170" s="8">
        <v>1044.0</v>
      </c>
      <c r="J170" s="4" t="str">
        <f t="shared" si="1"/>
        <v>Germany</v>
      </c>
      <c r="K170" s="4" t="str">
        <f t="shared" si="2"/>
        <v>Berlin</v>
      </c>
      <c r="L170" s="4" t="b">
        <v>0</v>
      </c>
    </row>
    <row r="171">
      <c r="A171" s="8">
        <v>172.0</v>
      </c>
      <c r="B171" s="8" t="s">
        <v>26</v>
      </c>
      <c r="C171" s="23" t="s">
        <v>68</v>
      </c>
      <c r="D171" s="8" t="s">
        <v>43</v>
      </c>
      <c r="E171" s="17">
        <v>45709.0</v>
      </c>
      <c r="F171" s="16">
        <v>47.71</v>
      </c>
      <c r="G171" s="8" t="s">
        <v>40</v>
      </c>
      <c r="H171" s="8" t="s">
        <v>33</v>
      </c>
      <c r="I171" s="8">
        <v>1006.0</v>
      </c>
      <c r="J171" s="4" t="str">
        <f t="shared" si="1"/>
        <v>Poland</v>
      </c>
      <c r="K171" s="4" t="str">
        <f t="shared" si="2"/>
        <v>Warsaw</v>
      </c>
      <c r="L171" s="4" t="b">
        <v>0</v>
      </c>
    </row>
    <row r="172">
      <c r="A172" s="8">
        <v>173.0</v>
      </c>
      <c r="B172" s="8" t="s">
        <v>38</v>
      </c>
      <c r="C172" s="8" t="s">
        <v>42</v>
      </c>
      <c r="D172" s="8" t="s">
        <v>28</v>
      </c>
      <c r="E172" s="17">
        <v>45695.0</v>
      </c>
      <c r="F172" s="16">
        <v>82.28</v>
      </c>
      <c r="G172" s="8" t="s">
        <v>36</v>
      </c>
      <c r="H172" s="8" t="s">
        <v>33</v>
      </c>
      <c r="I172" s="8">
        <v>1097.0</v>
      </c>
      <c r="J172" s="4" t="str">
        <f t="shared" si="1"/>
        <v>Germany</v>
      </c>
      <c r="K172" s="4" t="str">
        <f t="shared" si="2"/>
        <v>Berlin</v>
      </c>
      <c r="L172" s="4" t="b">
        <v>0</v>
      </c>
    </row>
    <row r="173">
      <c r="A173" s="8">
        <v>174.0</v>
      </c>
      <c r="B173" s="8" t="s">
        <v>38</v>
      </c>
      <c r="C173" s="8" t="s">
        <v>42</v>
      </c>
      <c r="D173" s="8" t="s">
        <v>35</v>
      </c>
      <c r="E173" s="17">
        <v>45678.0</v>
      </c>
      <c r="F173" s="16">
        <v>13.55</v>
      </c>
      <c r="G173" s="8" t="s">
        <v>58</v>
      </c>
      <c r="H173" s="8" t="s">
        <v>30</v>
      </c>
      <c r="I173" s="8">
        <v>1058.0</v>
      </c>
      <c r="J173" s="4" t="str">
        <f t="shared" si="1"/>
        <v>Germany</v>
      </c>
      <c r="K173" s="4" t="str">
        <f t="shared" si="2"/>
        <v>Berlin</v>
      </c>
      <c r="L173" s="4" t="b">
        <v>1</v>
      </c>
    </row>
    <row r="174">
      <c r="A174" s="8">
        <v>175.0</v>
      </c>
      <c r="B174" s="8" t="s">
        <v>26</v>
      </c>
      <c r="C174" s="8" t="s">
        <v>45</v>
      </c>
      <c r="D174" s="8" t="s">
        <v>32</v>
      </c>
      <c r="E174" s="17">
        <v>45688.0</v>
      </c>
      <c r="F174" s="16">
        <v>85.07</v>
      </c>
      <c r="G174" s="8" t="s">
        <v>58</v>
      </c>
      <c r="H174" s="8" t="s">
        <v>41</v>
      </c>
      <c r="I174" s="8">
        <v>1068.0</v>
      </c>
      <c r="J174" s="4" t="str">
        <f t="shared" si="1"/>
        <v>Poland</v>
      </c>
      <c r="K174" s="4" t="str">
        <f t="shared" si="2"/>
        <v>Warsaw</v>
      </c>
      <c r="L174" s="4" t="b">
        <v>1</v>
      </c>
    </row>
    <row r="175">
      <c r="A175" s="8">
        <v>176.0</v>
      </c>
      <c r="B175" s="8" t="s">
        <v>44</v>
      </c>
      <c r="C175" s="8" t="s">
        <v>27</v>
      </c>
      <c r="D175" s="8" t="s">
        <v>43</v>
      </c>
      <c r="E175" s="17">
        <v>45659.0</v>
      </c>
      <c r="F175" s="16">
        <v>39.76</v>
      </c>
      <c r="G175" s="8" t="s">
        <v>58</v>
      </c>
      <c r="H175" s="8" t="s">
        <v>33</v>
      </c>
      <c r="I175" s="8">
        <v>1072.0</v>
      </c>
      <c r="J175" s="4" t="str">
        <f t="shared" si="1"/>
        <v>Czech Republic</v>
      </c>
      <c r="K175" s="4" t="str">
        <f t="shared" si="2"/>
        <v>Prague</v>
      </c>
      <c r="L175" s="4" t="b">
        <v>0</v>
      </c>
    </row>
    <row r="176">
      <c r="A176" s="8">
        <v>177.0</v>
      </c>
      <c r="B176" s="8" t="s">
        <v>38</v>
      </c>
      <c r="C176" s="8" t="s">
        <v>37</v>
      </c>
      <c r="D176" s="8" t="s">
        <v>32</v>
      </c>
      <c r="E176" s="17">
        <v>45729.0</v>
      </c>
      <c r="F176" s="16">
        <v>57.24</v>
      </c>
      <c r="G176" s="8" t="s">
        <v>29</v>
      </c>
      <c r="H176" s="8" t="s">
        <v>33</v>
      </c>
      <c r="I176" s="8">
        <v>1012.0</v>
      </c>
      <c r="J176" s="4" t="str">
        <f t="shared" si="1"/>
        <v>Ukraine</v>
      </c>
      <c r="K176" s="4" t="str">
        <f t="shared" si="2"/>
        <v>Kyiv</v>
      </c>
      <c r="L176" s="4" t="b">
        <v>0</v>
      </c>
    </row>
    <row r="177">
      <c r="A177" s="8">
        <v>178.0</v>
      </c>
      <c r="B177" s="8" t="s">
        <v>26</v>
      </c>
      <c r="C177" s="8" t="s">
        <v>37</v>
      </c>
      <c r="D177" s="8" t="s">
        <v>28</v>
      </c>
      <c r="E177" s="17">
        <v>45708.0</v>
      </c>
      <c r="F177" s="16">
        <v>52.51</v>
      </c>
      <c r="G177" s="8" t="s">
        <v>29</v>
      </c>
      <c r="H177" s="8" t="s">
        <v>33</v>
      </c>
      <c r="I177" s="8">
        <v>1017.0</v>
      </c>
      <c r="J177" s="4" t="str">
        <f t="shared" si="1"/>
        <v>Ukraine</v>
      </c>
      <c r="K177" s="4" t="str">
        <f t="shared" si="2"/>
        <v>Kyiv</v>
      </c>
      <c r="L177" s="4" t="b">
        <v>0</v>
      </c>
    </row>
    <row r="178">
      <c r="A178" s="8">
        <v>179.0</v>
      </c>
      <c r="B178" s="8" t="s">
        <v>44</v>
      </c>
      <c r="C178" s="8" t="s">
        <v>42</v>
      </c>
      <c r="D178" s="8" t="s">
        <v>28</v>
      </c>
      <c r="E178" s="17">
        <v>45749.0</v>
      </c>
      <c r="F178" s="16">
        <v>36.16</v>
      </c>
      <c r="G178" s="8" t="s">
        <v>36</v>
      </c>
      <c r="H178" s="8" t="s">
        <v>33</v>
      </c>
      <c r="I178" s="8">
        <v>1050.0</v>
      </c>
      <c r="J178" s="4" t="str">
        <f t="shared" si="1"/>
        <v>Germany</v>
      </c>
      <c r="K178" s="4" t="str">
        <f t="shared" si="2"/>
        <v>Berlin</v>
      </c>
      <c r="L178" s="4" t="b">
        <v>0</v>
      </c>
    </row>
    <row r="179">
      <c r="A179" s="8">
        <v>180.0</v>
      </c>
      <c r="B179" s="8" t="s">
        <v>26</v>
      </c>
      <c r="C179" s="8" t="s">
        <v>37</v>
      </c>
      <c r="D179" s="8" t="s">
        <v>35</v>
      </c>
      <c r="E179" s="17">
        <v>45736.0</v>
      </c>
      <c r="F179" s="16">
        <v>82.5</v>
      </c>
      <c r="G179" s="8" t="s">
        <v>36</v>
      </c>
      <c r="H179" s="8" t="s">
        <v>41</v>
      </c>
      <c r="I179" s="8">
        <v>1086.0</v>
      </c>
      <c r="J179" s="4" t="str">
        <f t="shared" si="1"/>
        <v>Ukraine</v>
      </c>
      <c r="K179" s="4" t="str">
        <f t="shared" si="2"/>
        <v>Kyiv</v>
      </c>
      <c r="L179" s="4" t="b">
        <v>0</v>
      </c>
    </row>
    <row r="180">
      <c r="A180" s="8">
        <v>181.0</v>
      </c>
      <c r="B180" s="8" t="s">
        <v>38</v>
      </c>
      <c r="C180" s="8" t="s">
        <v>37</v>
      </c>
      <c r="D180" s="8" t="s">
        <v>32</v>
      </c>
      <c r="E180" s="17">
        <v>45672.0</v>
      </c>
      <c r="F180" s="16">
        <v>67.28</v>
      </c>
      <c r="G180" s="8" t="s">
        <v>40</v>
      </c>
      <c r="H180" s="8" t="s">
        <v>30</v>
      </c>
      <c r="I180" s="8">
        <v>1006.0</v>
      </c>
      <c r="J180" s="4" t="str">
        <f t="shared" si="1"/>
        <v>Ukraine</v>
      </c>
      <c r="K180" s="4" t="str">
        <f t="shared" si="2"/>
        <v>Kyiv</v>
      </c>
      <c r="L180" s="4" t="b">
        <v>0</v>
      </c>
    </row>
    <row r="181">
      <c r="A181" s="8">
        <v>182.0</v>
      </c>
      <c r="B181" s="8" t="s">
        <v>38</v>
      </c>
      <c r="C181" s="8" t="s">
        <v>42</v>
      </c>
      <c r="D181" s="8" t="s">
        <v>28</v>
      </c>
      <c r="E181" s="17">
        <v>45732.0</v>
      </c>
      <c r="F181" s="16">
        <v>59.39</v>
      </c>
      <c r="G181" s="8" t="s">
        <v>29</v>
      </c>
      <c r="H181" s="8" t="s">
        <v>33</v>
      </c>
      <c r="I181" s="8">
        <v>1002.0</v>
      </c>
      <c r="J181" s="4" t="str">
        <f t="shared" si="1"/>
        <v>Germany</v>
      </c>
      <c r="K181" s="4" t="str">
        <f t="shared" si="2"/>
        <v>Berlin</v>
      </c>
      <c r="L181" s="4" t="b">
        <v>0</v>
      </c>
    </row>
    <row r="182">
      <c r="A182" s="8">
        <v>183.0</v>
      </c>
      <c r="B182" s="8" t="s">
        <v>31</v>
      </c>
      <c r="C182" s="8" t="s">
        <v>42</v>
      </c>
      <c r="D182" s="8" t="s">
        <v>28</v>
      </c>
      <c r="E182" s="17">
        <v>45714.0</v>
      </c>
      <c r="F182" s="16">
        <v>92.45</v>
      </c>
      <c r="G182" s="8" t="s">
        <v>29</v>
      </c>
      <c r="H182" s="8" t="s">
        <v>30</v>
      </c>
      <c r="I182" s="8">
        <v>1017.0</v>
      </c>
      <c r="J182" s="4" t="str">
        <f t="shared" si="1"/>
        <v>Germany</v>
      </c>
      <c r="K182" s="4" t="str">
        <f t="shared" si="2"/>
        <v>Berlin</v>
      </c>
      <c r="L182" s="4" t="b">
        <v>0</v>
      </c>
    </row>
    <row r="183">
      <c r="A183" s="8">
        <v>184.0</v>
      </c>
      <c r="B183" s="8" t="s">
        <v>26</v>
      </c>
      <c r="C183" s="8" t="s">
        <v>42</v>
      </c>
      <c r="D183" s="8" t="s">
        <v>35</v>
      </c>
      <c r="E183" s="17">
        <v>45724.0</v>
      </c>
      <c r="F183" s="16">
        <v>91.65</v>
      </c>
      <c r="G183" s="8" t="s">
        <v>36</v>
      </c>
      <c r="H183" s="8" t="s">
        <v>30</v>
      </c>
      <c r="I183" s="8">
        <v>1045.0</v>
      </c>
      <c r="J183" s="4" t="str">
        <f t="shared" si="1"/>
        <v>Germany</v>
      </c>
      <c r="K183" s="4" t="str">
        <f t="shared" si="2"/>
        <v>Berlin</v>
      </c>
      <c r="L183" s="4" t="b">
        <v>1</v>
      </c>
    </row>
    <row r="184">
      <c r="A184" s="8">
        <v>185.0</v>
      </c>
      <c r="B184" s="8" t="s">
        <v>26</v>
      </c>
      <c r="C184" s="8" t="s">
        <v>42</v>
      </c>
      <c r="D184" s="8" t="s">
        <v>28</v>
      </c>
      <c r="E184" s="17">
        <v>45744.0</v>
      </c>
      <c r="F184" s="16">
        <v>33.36</v>
      </c>
      <c r="G184" s="8" t="s">
        <v>36</v>
      </c>
      <c r="H184" s="8" t="s">
        <v>41</v>
      </c>
      <c r="I184" s="8">
        <v>1090.0</v>
      </c>
      <c r="J184" s="4" t="str">
        <f t="shared" si="1"/>
        <v>Germany</v>
      </c>
      <c r="K184" s="4" t="str">
        <f t="shared" si="2"/>
        <v>Berlin</v>
      </c>
      <c r="L184" s="4" t="b">
        <v>0</v>
      </c>
    </row>
    <row r="185">
      <c r="A185" s="8">
        <v>186.0</v>
      </c>
      <c r="B185" s="8" t="s">
        <v>44</v>
      </c>
      <c r="C185" s="8" t="s">
        <v>37</v>
      </c>
      <c r="D185" s="8" t="s">
        <v>35</v>
      </c>
      <c r="E185" s="17">
        <v>45684.0</v>
      </c>
      <c r="F185" s="16">
        <v>80.56</v>
      </c>
      <c r="G185" s="8" t="s">
        <v>36</v>
      </c>
      <c r="H185" s="8" t="s">
        <v>41</v>
      </c>
      <c r="I185" s="8">
        <v>1015.0</v>
      </c>
      <c r="J185" s="4" t="str">
        <f t="shared" si="1"/>
        <v>Ukraine</v>
      </c>
      <c r="K185" s="4" t="str">
        <f t="shared" si="2"/>
        <v>Kyiv</v>
      </c>
      <c r="L185" s="4" t="b">
        <v>0</v>
      </c>
    </row>
    <row r="186">
      <c r="A186" s="8">
        <v>187.0</v>
      </c>
      <c r="B186" s="8" t="s">
        <v>44</v>
      </c>
      <c r="C186" s="8" t="s">
        <v>42</v>
      </c>
      <c r="D186" s="8" t="s">
        <v>43</v>
      </c>
      <c r="E186" s="17">
        <v>45731.0</v>
      </c>
      <c r="F186" s="16">
        <v>32.59</v>
      </c>
      <c r="G186" s="8" t="s">
        <v>36</v>
      </c>
      <c r="H186" s="8" t="s">
        <v>30</v>
      </c>
      <c r="I186" s="8">
        <v>1010.0</v>
      </c>
      <c r="J186" s="4" t="str">
        <f t="shared" si="1"/>
        <v>Germany</v>
      </c>
      <c r="K186" s="4" t="str">
        <f t="shared" si="2"/>
        <v>Berlin</v>
      </c>
      <c r="L186" s="4" t="b">
        <v>0</v>
      </c>
    </row>
    <row r="187">
      <c r="A187" s="8">
        <v>188.0</v>
      </c>
      <c r="B187" s="8" t="s">
        <v>26</v>
      </c>
      <c r="C187" s="8" t="s">
        <v>42</v>
      </c>
      <c r="D187" s="8" t="s">
        <v>28</v>
      </c>
      <c r="E187" s="17">
        <v>45702.0</v>
      </c>
      <c r="F187" s="16">
        <v>93.64</v>
      </c>
      <c r="G187" s="8" t="s">
        <v>36</v>
      </c>
      <c r="H187" s="8" t="s">
        <v>33</v>
      </c>
      <c r="I187" s="8">
        <v>1013.0</v>
      </c>
      <c r="J187" s="4" t="str">
        <f t="shared" si="1"/>
        <v>Germany</v>
      </c>
      <c r="K187" s="4" t="str">
        <f t="shared" si="2"/>
        <v>Berlin</v>
      </c>
      <c r="L187" s="4" t="b">
        <v>0</v>
      </c>
    </row>
    <row r="188">
      <c r="A188" s="8">
        <v>189.0</v>
      </c>
      <c r="B188" s="8" t="s">
        <v>31</v>
      </c>
      <c r="C188" s="8" t="s">
        <v>27</v>
      </c>
      <c r="D188" s="8" t="s">
        <v>32</v>
      </c>
      <c r="E188" s="17">
        <v>45736.0</v>
      </c>
      <c r="F188" s="16">
        <v>65.6</v>
      </c>
      <c r="G188" s="8" t="s">
        <v>29</v>
      </c>
      <c r="H188" s="8" t="s">
        <v>33</v>
      </c>
      <c r="I188" s="8">
        <v>1052.0</v>
      </c>
      <c r="J188" s="4" t="str">
        <f t="shared" si="1"/>
        <v>Czech Republic</v>
      </c>
      <c r="K188" s="4" t="str">
        <f t="shared" si="2"/>
        <v>Prague</v>
      </c>
      <c r="L188" s="4" t="b">
        <v>0</v>
      </c>
    </row>
    <row r="189">
      <c r="A189" s="8">
        <v>190.0</v>
      </c>
      <c r="B189" s="8" t="s">
        <v>34</v>
      </c>
      <c r="C189" s="8" t="s">
        <v>27</v>
      </c>
      <c r="D189" s="8" t="s">
        <v>32</v>
      </c>
      <c r="E189" s="17">
        <v>45700.0</v>
      </c>
      <c r="F189" s="16">
        <v>20.0</v>
      </c>
      <c r="G189" s="8" t="s">
        <v>58</v>
      </c>
      <c r="H189" s="8" t="s">
        <v>41</v>
      </c>
      <c r="I189" s="8">
        <v>1083.0</v>
      </c>
      <c r="J189" s="4" t="str">
        <f t="shared" si="1"/>
        <v>Czech Republic</v>
      </c>
      <c r="K189" s="4" t="str">
        <f t="shared" si="2"/>
        <v>Prague</v>
      </c>
      <c r="L189" s="4" t="b">
        <v>0</v>
      </c>
    </row>
    <row r="190">
      <c r="A190" s="8">
        <v>191.0</v>
      </c>
      <c r="B190" s="8" t="s">
        <v>26</v>
      </c>
      <c r="C190" s="8" t="s">
        <v>37</v>
      </c>
      <c r="D190" s="8" t="s">
        <v>43</v>
      </c>
      <c r="E190" s="17">
        <v>45683.0</v>
      </c>
      <c r="F190" s="16">
        <v>13.5</v>
      </c>
      <c r="G190" s="8" t="s">
        <v>40</v>
      </c>
      <c r="H190" s="8" t="s">
        <v>30</v>
      </c>
      <c r="I190" s="8">
        <v>1094.0</v>
      </c>
      <c r="J190" s="4" t="str">
        <f t="shared" si="1"/>
        <v>Ukraine</v>
      </c>
      <c r="K190" s="4" t="str">
        <f t="shared" si="2"/>
        <v>Kyiv</v>
      </c>
      <c r="L190" s="4" t="b">
        <v>1</v>
      </c>
    </row>
    <row r="191">
      <c r="A191" s="8">
        <v>192.0</v>
      </c>
      <c r="B191" s="8" t="s">
        <v>34</v>
      </c>
      <c r="C191" s="8" t="s">
        <v>27</v>
      </c>
      <c r="D191" s="8" t="s">
        <v>35</v>
      </c>
      <c r="E191" s="17">
        <v>45750.0</v>
      </c>
      <c r="F191" s="16">
        <v>92.37</v>
      </c>
      <c r="G191" s="8" t="s">
        <v>58</v>
      </c>
      <c r="H191" s="8" t="s">
        <v>41</v>
      </c>
      <c r="I191" s="8">
        <v>1023.0</v>
      </c>
      <c r="J191" s="4" t="str">
        <f t="shared" si="1"/>
        <v>Czech Republic</v>
      </c>
      <c r="K191" s="4" t="str">
        <f t="shared" si="2"/>
        <v>Prague</v>
      </c>
      <c r="L191" s="4" t="b">
        <v>0</v>
      </c>
    </row>
    <row r="192">
      <c r="A192" s="8">
        <v>193.0</v>
      </c>
      <c r="B192" s="8" t="s">
        <v>26</v>
      </c>
      <c r="C192" s="8" t="s">
        <v>45</v>
      </c>
      <c r="D192" s="8" t="s">
        <v>32</v>
      </c>
      <c r="E192" s="17">
        <v>45777.0</v>
      </c>
      <c r="F192" s="16">
        <v>93.2</v>
      </c>
      <c r="G192" s="8" t="s">
        <v>36</v>
      </c>
      <c r="H192" s="8" t="s">
        <v>41</v>
      </c>
      <c r="I192" s="8">
        <v>1058.0</v>
      </c>
      <c r="J192" s="4" t="str">
        <f t="shared" si="1"/>
        <v>Poland</v>
      </c>
      <c r="K192" s="4" t="str">
        <f t="shared" si="2"/>
        <v>Warsaw</v>
      </c>
      <c r="L192" s="4" t="b">
        <v>1</v>
      </c>
    </row>
    <row r="193">
      <c r="A193" s="8">
        <v>194.0</v>
      </c>
      <c r="B193" s="8" t="s">
        <v>44</v>
      </c>
      <c r="C193" s="8" t="s">
        <v>27</v>
      </c>
      <c r="D193" s="8" t="s">
        <v>35</v>
      </c>
      <c r="E193" s="17">
        <v>45740.0</v>
      </c>
      <c r="F193" s="16">
        <v>36.41</v>
      </c>
      <c r="G193" s="8" t="s">
        <v>58</v>
      </c>
      <c r="H193" s="8" t="s">
        <v>30</v>
      </c>
      <c r="I193" s="8">
        <v>1032.0</v>
      </c>
      <c r="J193" s="4" t="str">
        <f t="shared" si="1"/>
        <v>Czech Republic</v>
      </c>
      <c r="K193" s="4" t="str">
        <f t="shared" si="2"/>
        <v>Prague</v>
      </c>
      <c r="L193" s="4" t="b">
        <v>0</v>
      </c>
    </row>
    <row r="194">
      <c r="A194" s="8">
        <v>195.0</v>
      </c>
      <c r="B194" s="8" t="s">
        <v>26</v>
      </c>
      <c r="C194" s="8" t="s">
        <v>37</v>
      </c>
      <c r="D194" s="8" t="s">
        <v>28</v>
      </c>
      <c r="E194" s="17">
        <v>45749.0</v>
      </c>
      <c r="F194" s="16">
        <v>90.22</v>
      </c>
      <c r="G194" s="8" t="s">
        <v>58</v>
      </c>
      <c r="H194" s="8" t="s">
        <v>30</v>
      </c>
      <c r="I194" s="8">
        <v>1041.0</v>
      </c>
      <c r="J194" s="4" t="str">
        <f t="shared" si="1"/>
        <v>Ukraine</v>
      </c>
      <c r="K194" s="4" t="str">
        <f t="shared" si="2"/>
        <v>Kyiv</v>
      </c>
      <c r="L194" s="4" t="b">
        <v>0</v>
      </c>
    </row>
    <row r="195">
      <c r="A195" s="8">
        <v>196.0</v>
      </c>
      <c r="B195" s="8" t="s">
        <v>34</v>
      </c>
      <c r="C195" s="8" t="s">
        <v>27</v>
      </c>
      <c r="D195" s="8" t="s">
        <v>28</v>
      </c>
      <c r="E195" s="17">
        <v>45669.0</v>
      </c>
      <c r="F195" s="16">
        <v>5.65</v>
      </c>
      <c r="G195" s="8" t="s">
        <v>58</v>
      </c>
      <c r="H195" s="8" t="s">
        <v>33</v>
      </c>
      <c r="I195" s="8">
        <v>1057.0</v>
      </c>
      <c r="J195" s="4" t="str">
        <f t="shared" si="1"/>
        <v>Czech Republic</v>
      </c>
      <c r="K195" s="4" t="str">
        <f t="shared" si="2"/>
        <v>Prague</v>
      </c>
      <c r="L195" s="4" t="b">
        <v>1</v>
      </c>
    </row>
    <row r="196">
      <c r="A196" s="8">
        <v>197.0</v>
      </c>
      <c r="B196" s="8" t="s">
        <v>26</v>
      </c>
      <c r="C196" s="8" t="s">
        <v>37</v>
      </c>
      <c r="D196" s="8" t="s">
        <v>32</v>
      </c>
      <c r="E196" s="17">
        <v>45754.0</v>
      </c>
      <c r="F196" s="16">
        <v>27.45</v>
      </c>
      <c r="G196" s="8" t="s">
        <v>29</v>
      </c>
      <c r="H196" s="8" t="s">
        <v>41</v>
      </c>
      <c r="I196" s="8">
        <v>1039.0</v>
      </c>
      <c r="J196" s="4" t="str">
        <f t="shared" si="1"/>
        <v>Ukraine</v>
      </c>
      <c r="K196" s="4" t="str">
        <f t="shared" si="2"/>
        <v>Kyiv</v>
      </c>
      <c r="L196" s="4" t="b">
        <v>0</v>
      </c>
    </row>
    <row r="197">
      <c r="A197" s="8">
        <v>198.0</v>
      </c>
      <c r="B197" s="8" t="s">
        <v>38</v>
      </c>
      <c r="C197" s="8" t="s">
        <v>37</v>
      </c>
      <c r="D197" s="8" t="s">
        <v>32</v>
      </c>
      <c r="E197" s="17">
        <v>45678.0</v>
      </c>
      <c r="F197" s="16">
        <v>39.92</v>
      </c>
      <c r="G197" s="8" t="s">
        <v>40</v>
      </c>
      <c r="H197" s="8" t="s">
        <v>33</v>
      </c>
      <c r="I197" s="8">
        <v>1017.0</v>
      </c>
      <c r="J197" s="4" t="str">
        <f t="shared" si="1"/>
        <v>Ukraine</v>
      </c>
      <c r="K197" s="4" t="str">
        <f t="shared" si="2"/>
        <v>Kyiv</v>
      </c>
      <c r="L197" s="4" t="b">
        <v>0</v>
      </c>
    </row>
    <row r="198">
      <c r="A198" s="8">
        <v>199.0</v>
      </c>
      <c r="B198" s="8" t="s">
        <v>38</v>
      </c>
      <c r="C198" s="8" t="s">
        <v>37</v>
      </c>
      <c r="D198" s="8" t="s">
        <v>35</v>
      </c>
      <c r="E198" s="17">
        <v>45719.0</v>
      </c>
      <c r="F198" s="16">
        <v>76.95</v>
      </c>
      <c r="G198" s="8" t="s">
        <v>40</v>
      </c>
      <c r="H198" s="8" t="s">
        <v>33</v>
      </c>
      <c r="I198" s="8">
        <v>1087.0</v>
      </c>
      <c r="J198" s="4" t="str">
        <f t="shared" si="1"/>
        <v>Ukraine</v>
      </c>
      <c r="K198" s="4" t="str">
        <f t="shared" si="2"/>
        <v>Kyiv</v>
      </c>
      <c r="L198" s="4" t="b">
        <v>0</v>
      </c>
    </row>
    <row r="199">
      <c r="A199" s="8">
        <v>200.0</v>
      </c>
      <c r="B199" s="8" t="s">
        <v>34</v>
      </c>
      <c r="C199" s="8" t="s">
        <v>42</v>
      </c>
      <c r="D199" s="8" t="s">
        <v>43</v>
      </c>
      <c r="E199" s="17">
        <v>45754.0</v>
      </c>
      <c r="F199" s="16">
        <v>10.87</v>
      </c>
      <c r="G199" s="8" t="s">
        <v>40</v>
      </c>
      <c r="H199" s="8" t="s">
        <v>30</v>
      </c>
      <c r="I199" s="8">
        <v>1068.0</v>
      </c>
      <c r="J199" s="4" t="str">
        <f t="shared" si="1"/>
        <v>Germany</v>
      </c>
      <c r="K199" s="4" t="str">
        <f t="shared" si="2"/>
        <v>Berlin</v>
      </c>
      <c r="L199" s="4" t="b">
        <v>0</v>
      </c>
    </row>
    <row r="200">
      <c r="A200" s="8">
        <v>201.0</v>
      </c>
      <c r="B200" s="8" t="s">
        <v>38</v>
      </c>
      <c r="C200" s="8" t="s">
        <v>42</v>
      </c>
      <c r="D200" s="8" t="s">
        <v>32</v>
      </c>
      <c r="E200" s="17">
        <v>45677.0</v>
      </c>
      <c r="F200" s="16">
        <v>51.44</v>
      </c>
      <c r="G200" s="8" t="s">
        <v>58</v>
      </c>
      <c r="H200" s="8" t="s">
        <v>33</v>
      </c>
      <c r="I200" s="8">
        <v>1058.0</v>
      </c>
      <c r="J200" s="4" t="str">
        <f t="shared" si="1"/>
        <v>Germany</v>
      </c>
      <c r="K200" s="4" t="str">
        <f t="shared" si="2"/>
        <v>Berlin</v>
      </c>
      <c r="L200" s="4" t="b">
        <v>0</v>
      </c>
    </row>
    <row r="201">
      <c r="A201" s="8">
        <v>202.0</v>
      </c>
      <c r="B201" s="8" t="s">
        <v>44</v>
      </c>
      <c r="C201" s="8" t="s">
        <v>45</v>
      </c>
      <c r="D201" s="8" t="s">
        <v>35</v>
      </c>
      <c r="E201" s="17">
        <v>45674.0</v>
      </c>
      <c r="F201" s="16">
        <v>7.07</v>
      </c>
      <c r="G201" s="8" t="s">
        <v>36</v>
      </c>
      <c r="H201" s="8" t="s">
        <v>33</v>
      </c>
      <c r="I201" s="8">
        <v>1095.0</v>
      </c>
      <c r="J201" s="4" t="str">
        <f t="shared" si="1"/>
        <v>Poland</v>
      </c>
      <c r="K201" s="4" t="str">
        <f t="shared" si="2"/>
        <v>Warsaw</v>
      </c>
      <c r="L201" s="4" t="b">
        <v>0</v>
      </c>
    </row>
    <row r="202">
      <c r="A202" s="8">
        <v>203.0</v>
      </c>
      <c r="B202" s="8" t="s">
        <v>34</v>
      </c>
      <c r="C202" s="8" t="s">
        <v>42</v>
      </c>
      <c r="D202" s="8" t="s">
        <v>43</v>
      </c>
      <c r="E202" s="17">
        <v>45685.0</v>
      </c>
      <c r="F202" s="16">
        <v>10.72</v>
      </c>
      <c r="G202" s="8" t="s">
        <v>29</v>
      </c>
      <c r="H202" s="8" t="s">
        <v>41</v>
      </c>
      <c r="I202" s="8">
        <v>1004.0</v>
      </c>
      <c r="J202" s="4" t="str">
        <f t="shared" si="1"/>
        <v>Germany</v>
      </c>
      <c r="K202" s="4" t="str">
        <f t="shared" si="2"/>
        <v>Berlin</v>
      </c>
      <c r="L202" s="4" t="b">
        <v>0</v>
      </c>
    </row>
    <row r="203">
      <c r="A203" s="8">
        <v>204.0</v>
      </c>
      <c r="B203" s="8" t="s">
        <v>31</v>
      </c>
      <c r="C203" s="8" t="s">
        <v>42</v>
      </c>
      <c r="D203" s="8" t="s">
        <v>43</v>
      </c>
      <c r="E203" s="17">
        <v>45694.0</v>
      </c>
      <c r="F203" s="16">
        <v>87.61</v>
      </c>
      <c r="G203" s="8" t="s">
        <v>58</v>
      </c>
      <c r="H203" s="8" t="s">
        <v>41</v>
      </c>
      <c r="I203" s="8">
        <v>1010.0</v>
      </c>
      <c r="J203" s="4" t="str">
        <f t="shared" si="1"/>
        <v>Germany</v>
      </c>
      <c r="K203" s="4" t="str">
        <f t="shared" si="2"/>
        <v>Berlin</v>
      </c>
      <c r="L203" s="4" t="b">
        <v>0</v>
      </c>
    </row>
    <row r="204">
      <c r="A204" s="8">
        <v>205.0</v>
      </c>
      <c r="B204" s="8" t="s">
        <v>38</v>
      </c>
      <c r="C204" s="8" t="s">
        <v>27</v>
      </c>
      <c r="D204" s="8" t="s">
        <v>43</v>
      </c>
      <c r="E204" s="17">
        <v>45745.0</v>
      </c>
      <c r="F204" s="16">
        <v>42.34</v>
      </c>
      <c r="G204" s="8" t="s">
        <v>40</v>
      </c>
      <c r="H204" s="8" t="s">
        <v>30</v>
      </c>
      <c r="I204" s="8">
        <v>1028.0</v>
      </c>
      <c r="J204" s="4" t="str">
        <f t="shared" si="1"/>
        <v>Czech Republic</v>
      </c>
      <c r="K204" s="4" t="str">
        <f t="shared" si="2"/>
        <v>Prague</v>
      </c>
      <c r="L204" s="4" t="b">
        <v>0</v>
      </c>
    </row>
    <row r="205">
      <c r="A205" s="8">
        <v>207.0</v>
      </c>
      <c r="B205" s="8" t="s">
        <v>31</v>
      </c>
      <c r="C205" s="8" t="s">
        <v>45</v>
      </c>
      <c r="D205" s="8" t="s">
        <v>32</v>
      </c>
      <c r="E205" s="17">
        <v>45702.0</v>
      </c>
      <c r="F205" s="16">
        <v>77.78</v>
      </c>
      <c r="G205" s="8" t="s">
        <v>29</v>
      </c>
      <c r="H205" s="8" t="s">
        <v>33</v>
      </c>
      <c r="I205" s="8">
        <v>1026.0</v>
      </c>
      <c r="J205" s="4" t="str">
        <f t="shared" si="1"/>
        <v>Poland</v>
      </c>
      <c r="K205" s="4" t="str">
        <f t="shared" si="2"/>
        <v>Warsaw</v>
      </c>
      <c r="L205" s="4" t="b">
        <v>1</v>
      </c>
    </row>
    <row r="206">
      <c r="A206" s="8">
        <v>208.0</v>
      </c>
      <c r="B206" s="8" t="s">
        <v>34</v>
      </c>
      <c r="C206" s="8" t="s">
        <v>42</v>
      </c>
      <c r="D206" s="8" t="s">
        <v>32</v>
      </c>
      <c r="E206" s="17">
        <v>45666.0</v>
      </c>
      <c r="F206" s="16"/>
      <c r="G206" s="8" t="s">
        <v>58</v>
      </c>
      <c r="H206" s="8" t="s">
        <v>33</v>
      </c>
      <c r="I206" s="8">
        <v>1069.0</v>
      </c>
      <c r="J206" s="4" t="str">
        <f t="shared" si="1"/>
        <v>Germany</v>
      </c>
      <c r="K206" s="4" t="str">
        <f t="shared" si="2"/>
        <v>Berlin</v>
      </c>
      <c r="L206" s="4" t="b">
        <v>0</v>
      </c>
    </row>
    <row r="207">
      <c r="A207" s="8">
        <v>209.0</v>
      </c>
      <c r="B207" s="8" t="s">
        <v>34</v>
      </c>
      <c r="C207" s="8" t="s">
        <v>27</v>
      </c>
      <c r="D207" s="8" t="s">
        <v>43</v>
      </c>
      <c r="E207" s="17">
        <v>45685.0</v>
      </c>
      <c r="F207" s="16">
        <v>59.73</v>
      </c>
      <c r="G207" s="8" t="s">
        <v>36</v>
      </c>
      <c r="H207" s="8" t="s">
        <v>33</v>
      </c>
      <c r="I207" s="8">
        <v>1038.0</v>
      </c>
      <c r="J207" s="4" t="str">
        <f t="shared" si="1"/>
        <v>Czech Republic</v>
      </c>
      <c r="K207" s="4" t="str">
        <f t="shared" si="2"/>
        <v>Prague</v>
      </c>
      <c r="L207" s="4" t="b">
        <v>0</v>
      </c>
    </row>
    <row r="208">
      <c r="A208" s="8">
        <v>210.0</v>
      </c>
      <c r="B208" s="8" t="s">
        <v>38</v>
      </c>
      <c r="C208" s="8" t="s">
        <v>27</v>
      </c>
      <c r="D208" s="8" t="s">
        <v>35</v>
      </c>
      <c r="E208" s="17">
        <v>45770.0</v>
      </c>
      <c r="F208" s="16">
        <v>95.11</v>
      </c>
      <c r="G208" s="8" t="s">
        <v>40</v>
      </c>
      <c r="H208" s="8" t="s">
        <v>30</v>
      </c>
      <c r="I208" s="8">
        <v>1086.0</v>
      </c>
      <c r="J208" s="4" t="str">
        <f t="shared" si="1"/>
        <v>Czech Republic</v>
      </c>
      <c r="K208" s="4" t="str">
        <f t="shared" si="2"/>
        <v>Prague</v>
      </c>
      <c r="L208" s="4" t="b">
        <v>0</v>
      </c>
    </row>
    <row r="209">
      <c r="A209" s="8">
        <v>211.0</v>
      </c>
      <c r="B209" s="8" t="s">
        <v>34</v>
      </c>
      <c r="C209" s="8" t="s">
        <v>37</v>
      </c>
      <c r="D209" s="8" t="s">
        <v>35</v>
      </c>
      <c r="E209" s="17">
        <v>45712.0</v>
      </c>
      <c r="F209" s="16">
        <v>44.55</v>
      </c>
      <c r="G209" s="8" t="s">
        <v>40</v>
      </c>
      <c r="H209" s="8" t="s">
        <v>41</v>
      </c>
      <c r="I209" s="8">
        <v>1048.0</v>
      </c>
      <c r="J209" s="4" t="str">
        <f t="shared" si="1"/>
        <v>Ukraine</v>
      </c>
      <c r="K209" s="4" t="str">
        <f t="shared" si="2"/>
        <v>Kyiv</v>
      </c>
      <c r="L209" s="4" t="b">
        <v>0</v>
      </c>
    </row>
    <row r="210">
      <c r="A210" s="8">
        <v>212.0</v>
      </c>
      <c r="B210" s="8" t="s">
        <v>44</v>
      </c>
      <c r="C210" s="8" t="s">
        <v>27</v>
      </c>
      <c r="D210" s="8" t="s">
        <v>28</v>
      </c>
      <c r="E210" s="17">
        <v>45681.0</v>
      </c>
      <c r="F210" s="16">
        <v>81.55</v>
      </c>
      <c r="G210" s="8" t="s">
        <v>29</v>
      </c>
      <c r="H210" s="8" t="s">
        <v>30</v>
      </c>
      <c r="I210" s="8">
        <v>1052.0</v>
      </c>
      <c r="J210" s="4" t="str">
        <f t="shared" si="1"/>
        <v>Czech Republic</v>
      </c>
      <c r="K210" s="4" t="str">
        <f t="shared" si="2"/>
        <v>Prague</v>
      </c>
      <c r="L210" s="4" t="b">
        <v>1</v>
      </c>
    </row>
    <row r="211">
      <c r="A211" s="8">
        <v>213.0</v>
      </c>
      <c r="B211" s="8" t="s">
        <v>31</v>
      </c>
      <c r="C211" s="8" t="s">
        <v>42</v>
      </c>
      <c r="D211" s="8" t="s">
        <v>28</v>
      </c>
      <c r="E211" s="17">
        <v>45711.0</v>
      </c>
      <c r="F211" s="16">
        <v>12.51</v>
      </c>
      <c r="G211" s="8" t="s">
        <v>58</v>
      </c>
      <c r="H211" s="8" t="s">
        <v>41</v>
      </c>
      <c r="I211" s="8">
        <v>1011.0</v>
      </c>
      <c r="J211" s="4" t="str">
        <f t="shared" si="1"/>
        <v>Germany</v>
      </c>
      <c r="K211" s="4" t="str">
        <f t="shared" si="2"/>
        <v>Berlin</v>
      </c>
      <c r="L211" s="4" t="b">
        <v>0</v>
      </c>
    </row>
    <row r="212">
      <c r="A212" s="8">
        <v>214.0</v>
      </c>
      <c r="B212" s="8" t="s">
        <v>31</v>
      </c>
      <c r="C212" s="8" t="s">
        <v>45</v>
      </c>
      <c r="D212" s="8" t="s">
        <v>43</v>
      </c>
      <c r="E212" s="17">
        <v>45726.0</v>
      </c>
      <c r="F212" s="16">
        <v>8.76</v>
      </c>
      <c r="G212" s="8" t="s">
        <v>29</v>
      </c>
      <c r="H212" s="8" t="s">
        <v>33</v>
      </c>
      <c r="I212" s="8">
        <v>1097.0</v>
      </c>
      <c r="J212" s="4" t="str">
        <f t="shared" si="1"/>
        <v>Poland</v>
      </c>
      <c r="K212" s="4" t="str">
        <f t="shared" si="2"/>
        <v>Warsaw</v>
      </c>
      <c r="L212" s="4" t="b">
        <v>0</v>
      </c>
    </row>
    <row r="213">
      <c r="A213" s="8">
        <v>215.0</v>
      </c>
      <c r="B213" s="8" t="s">
        <v>38</v>
      </c>
      <c r="C213" s="8" t="s">
        <v>27</v>
      </c>
      <c r="D213" s="8" t="s">
        <v>35</v>
      </c>
      <c r="E213" s="17">
        <v>45733.0</v>
      </c>
      <c r="F213" s="16">
        <v>33.8</v>
      </c>
      <c r="G213" s="8" t="s">
        <v>29</v>
      </c>
      <c r="H213" s="8" t="s">
        <v>33</v>
      </c>
      <c r="I213" s="8">
        <v>1024.0</v>
      </c>
      <c r="J213" s="4" t="str">
        <f t="shared" si="1"/>
        <v>Czech Republic</v>
      </c>
      <c r="K213" s="4" t="str">
        <f t="shared" si="2"/>
        <v>Prague</v>
      </c>
      <c r="L213" s="4" t="b">
        <v>0</v>
      </c>
    </row>
    <row r="214">
      <c r="A214" s="8">
        <v>216.0</v>
      </c>
      <c r="B214" s="8" t="s">
        <v>44</v>
      </c>
      <c r="C214" s="8" t="s">
        <v>27</v>
      </c>
      <c r="D214" s="8" t="s">
        <v>28</v>
      </c>
      <c r="E214" s="17">
        <v>45752.0</v>
      </c>
      <c r="F214" s="16">
        <v>35.55</v>
      </c>
      <c r="G214" s="8" t="s">
        <v>36</v>
      </c>
      <c r="H214" s="8" t="s">
        <v>41</v>
      </c>
      <c r="I214" s="8">
        <v>1059.0</v>
      </c>
      <c r="J214" s="4" t="str">
        <f t="shared" si="1"/>
        <v>Czech Republic</v>
      </c>
      <c r="K214" s="4" t="str">
        <f t="shared" si="2"/>
        <v>Prague</v>
      </c>
      <c r="L214" s="4" t="b">
        <v>1</v>
      </c>
    </row>
    <row r="215">
      <c r="A215" s="8">
        <v>217.0</v>
      </c>
      <c r="B215" s="8" t="s">
        <v>26</v>
      </c>
      <c r="C215" s="8" t="s">
        <v>37</v>
      </c>
      <c r="D215" s="8" t="s">
        <v>43</v>
      </c>
      <c r="E215" s="17">
        <v>45726.0</v>
      </c>
      <c r="F215" s="16">
        <v>14.37</v>
      </c>
      <c r="G215" s="8" t="s">
        <v>58</v>
      </c>
      <c r="H215" s="8" t="s">
        <v>41</v>
      </c>
      <c r="I215" s="8">
        <v>1026.0</v>
      </c>
      <c r="J215" s="4" t="str">
        <f t="shared" si="1"/>
        <v>Ukraine</v>
      </c>
      <c r="K215" s="4" t="str">
        <f t="shared" si="2"/>
        <v>Kyiv</v>
      </c>
      <c r="L215" s="4" t="b">
        <v>1</v>
      </c>
    </row>
    <row r="216">
      <c r="A216" s="8">
        <v>218.0</v>
      </c>
      <c r="B216" s="8" t="s">
        <v>34</v>
      </c>
      <c r="C216" s="8" t="s">
        <v>27</v>
      </c>
      <c r="D216" s="8" t="s">
        <v>28</v>
      </c>
      <c r="E216" s="21">
        <v>45705.0</v>
      </c>
      <c r="F216" s="16">
        <v>60.48</v>
      </c>
      <c r="G216" s="8" t="s">
        <v>58</v>
      </c>
      <c r="H216" s="8" t="s">
        <v>41</v>
      </c>
      <c r="I216" s="8">
        <v>1019.0</v>
      </c>
      <c r="J216" s="4" t="str">
        <f t="shared" si="1"/>
        <v>Czech Republic</v>
      </c>
      <c r="K216" s="4" t="str">
        <f t="shared" si="2"/>
        <v>Prague</v>
      </c>
      <c r="L216" s="4" t="b">
        <v>1</v>
      </c>
    </row>
    <row r="217">
      <c r="A217" s="8">
        <v>219.0</v>
      </c>
      <c r="B217" s="8" t="s">
        <v>44</v>
      </c>
      <c r="C217" s="8" t="s">
        <v>27</v>
      </c>
      <c r="D217" s="8" t="s">
        <v>35</v>
      </c>
      <c r="E217" s="17">
        <v>45683.0</v>
      </c>
      <c r="F217" s="16">
        <v>37.07</v>
      </c>
      <c r="G217" s="8" t="s">
        <v>58</v>
      </c>
      <c r="H217" s="8" t="s">
        <v>30</v>
      </c>
      <c r="I217" s="8">
        <v>1082.0</v>
      </c>
      <c r="J217" s="4" t="str">
        <f t="shared" si="1"/>
        <v>Czech Republic</v>
      </c>
      <c r="K217" s="4" t="str">
        <f t="shared" si="2"/>
        <v>Prague</v>
      </c>
      <c r="L217" s="4" t="b">
        <v>0</v>
      </c>
    </row>
    <row r="218">
      <c r="A218" s="8">
        <v>220.0</v>
      </c>
      <c r="B218" s="8" t="s">
        <v>31</v>
      </c>
      <c r="C218" s="8" t="s">
        <v>37</v>
      </c>
      <c r="D218" s="8" t="s">
        <v>28</v>
      </c>
      <c r="E218" s="17">
        <v>45752.0</v>
      </c>
      <c r="F218" s="16">
        <v>22.48</v>
      </c>
      <c r="G218" s="8" t="s">
        <v>29</v>
      </c>
      <c r="H218" s="8" t="s">
        <v>30</v>
      </c>
      <c r="I218" s="8">
        <v>1004.0</v>
      </c>
      <c r="J218" s="4" t="str">
        <f t="shared" si="1"/>
        <v>Ukraine</v>
      </c>
      <c r="K218" s="4" t="str">
        <f t="shared" si="2"/>
        <v>Kyiv</v>
      </c>
      <c r="L218" s="4" t="b">
        <v>0</v>
      </c>
    </row>
    <row r="219">
      <c r="A219" s="8">
        <v>221.0</v>
      </c>
      <c r="B219" s="8" t="s">
        <v>34</v>
      </c>
      <c r="C219" s="8" t="s">
        <v>45</v>
      </c>
      <c r="D219" s="8" t="s">
        <v>35</v>
      </c>
      <c r="E219" s="17">
        <v>45765.0</v>
      </c>
      <c r="F219" s="16">
        <v>11.46</v>
      </c>
      <c r="G219" s="8" t="s">
        <v>40</v>
      </c>
      <c r="H219" s="8" t="s">
        <v>33</v>
      </c>
      <c r="I219" s="8">
        <v>1027.0</v>
      </c>
      <c r="J219" s="4" t="str">
        <f t="shared" si="1"/>
        <v>Poland</v>
      </c>
      <c r="K219" s="4" t="str">
        <f t="shared" si="2"/>
        <v>Warsaw</v>
      </c>
      <c r="L219" s="4" t="b">
        <v>0</v>
      </c>
    </row>
    <row r="220">
      <c r="A220" s="8">
        <v>222.0</v>
      </c>
      <c r="B220" s="8" t="s">
        <v>34</v>
      </c>
      <c r="C220" s="8" t="s">
        <v>42</v>
      </c>
      <c r="D220" s="8" t="s">
        <v>35</v>
      </c>
      <c r="E220" s="21">
        <v>45722.0</v>
      </c>
      <c r="F220" s="16">
        <v>44.08</v>
      </c>
      <c r="G220" s="8" t="s">
        <v>29</v>
      </c>
      <c r="H220" s="8" t="s">
        <v>30</v>
      </c>
      <c r="I220" s="8">
        <v>1092.0</v>
      </c>
      <c r="J220" s="4" t="str">
        <f t="shared" si="1"/>
        <v>Germany</v>
      </c>
      <c r="K220" s="4" t="str">
        <f t="shared" si="2"/>
        <v>Berlin</v>
      </c>
      <c r="L220" s="4" t="b">
        <v>1</v>
      </c>
    </row>
    <row r="221">
      <c r="A221" s="8">
        <v>223.0</v>
      </c>
      <c r="B221" s="8" t="s">
        <v>26</v>
      </c>
      <c r="C221" s="8" t="s">
        <v>45</v>
      </c>
      <c r="D221" s="8" t="s">
        <v>35</v>
      </c>
      <c r="E221" s="17">
        <v>45693.0</v>
      </c>
      <c r="F221" s="16">
        <v>15.17</v>
      </c>
      <c r="G221" s="8" t="s">
        <v>29</v>
      </c>
      <c r="H221" s="8" t="s">
        <v>30</v>
      </c>
      <c r="I221" s="8">
        <v>1019.0</v>
      </c>
      <c r="J221" s="4" t="str">
        <f t="shared" si="1"/>
        <v>Poland</v>
      </c>
      <c r="K221" s="4" t="str">
        <f t="shared" si="2"/>
        <v>Warsaw</v>
      </c>
      <c r="L221" s="4" t="b">
        <v>0</v>
      </c>
    </row>
    <row r="222">
      <c r="A222" s="8">
        <v>224.0</v>
      </c>
      <c r="B222" s="8" t="s">
        <v>38</v>
      </c>
      <c r="C222" s="8" t="s">
        <v>37</v>
      </c>
      <c r="D222" s="8" t="s">
        <v>43</v>
      </c>
      <c r="E222" s="17">
        <v>45688.0</v>
      </c>
      <c r="F222" s="16">
        <v>40.44</v>
      </c>
      <c r="G222" s="8" t="s">
        <v>58</v>
      </c>
      <c r="H222" s="8" t="s">
        <v>41</v>
      </c>
      <c r="I222" s="8">
        <v>1072.0</v>
      </c>
      <c r="J222" s="4" t="str">
        <f t="shared" si="1"/>
        <v>Ukraine</v>
      </c>
      <c r="K222" s="4" t="str">
        <f t="shared" si="2"/>
        <v>Kyiv</v>
      </c>
      <c r="L222" s="4" t="b">
        <v>1</v>
      </c>
    </row>
    <row r="223">
      <c r="A223" s="8">
        <v>225.0</v>
      </c>
      <c r="B223" s="8" t="s">
        <v>31</v>
      </c>
      <c r="C223" s="8" t="s">
        <v>37</v>
      </c>
      <c r="D223" s="8" t="s">
        <v>32</v>
      </c>
      <c r="E223" s="17">
        <v>45689.0</v>
      </c>
      <c r="F223" s="16">
        <v>77.16</v>
      </c>
      <c r="G223" s="8" t="s">
        <v>29</v>
      </c>
      <c r="H223" s="8" t="s">
        <v>41</v>
      </c>
      <c r="I223" s="8">
        <v>1048.0</v>
      </c>
      <c r="J223" s="4" t="str">
        <f t="shared" si="1"/>
        <v>Ukraine</v>
      </c>
      <c r="K223" s="4" t="str">
        <f t="shared" si="2"/>
        <v>Kyiv</v>
      </c>
      <c r="L223" s="4" t="b">
        <v>0</v>
      </c>
    </row>
    <row r="224">
      <c r="A224" s="8">
        <v>226.0</v>
      </c>
      <c r="B224" s="8" t="s">
        <v>34</v>
      </c>
      <c r="C224" s="8" t="s">
        <v>45</v>
      </c>
      <c r="D224" s="8" t="s">
        <v>28</v>
      </c>
      <c r="E224" s="17">
        <v>45706.0</v>
      </c>
      <c r="F224" s="16">
        <v>66.27</v>
      </c>
      <c r="G224" s="8" t="s">
        <v>36</v>
      </c>
      <c r="H224" s="8" t="s">
        <v>30</v>
      </c>
      <c r="I224" s="8">
        <v>1012.0</v>
      </c>
      <c r="J224" s="4" t="str">
        <f t="shared" si="1"/>
        <v>Poland</v>
      </c>
      <c r="K224" s="4" t="str">
        <f t="shared" si="2"/>
        <v>Warsaw</v>
      </c>
      <c r="L224" s="4" t="b">
        <v>0</v>
      </c>
    </row>
    <row r="225">
      <c r="A225" s="8">
        <v>227.0</v>
      </c>
      <c r="B225" s="8" t="s">
        <v>34</v>
      </c>
      <c r="C225" s="8" t="s">
        <v>27</v>
      </c>
      <c r="D225" s="8" t="s">
        <v>28</v>
      </c>
      <c r="E225" s="17">
        <v>45772.0</v>
      </c>
      <c r="F225" s="16">
        <v>58.84</v>
      </c>
      <c r="G225" s="8" t="s">
        <v>36</v>
      </c>
      <c r="H225" s="8" t="s">
        <v>33</v>
      </c>
      <c r="I225" s="8">
        <v>1009.0</v>
      </c>
      <c r="J225" s="4" t="str">
        <f t="shared" si="1"/>
        <v>Czech Republic</v>
      </c>
      <c r="K225" s="4" t="str">
        <f t="shared" si="2"/>
        <v>Prague</v>
      </c>
      <c r="L225" s="4" t="b">
        <v>1</v>
      </c>
    </row>
    <row r="226">
      <c r="A226" s="8">
        <v>228.0</v>
      </c>
      <c r="B226" s="8" t="s">
        <v>38</v>
      </c>
      <c r="C226" s="8" t="s">
        <v>45</v>
      </c>
      <c r="D226" s="8" t="s">
        <v>28</v>
      </c>
      <c r="E226" s="17">
        <v>45745.0</v>
      </c>
      <c r="F226" s="16">
        <v>96.34</v>
      </c>
      <c r="G226" s="8" t="s">
        <v>40</v>
      </c>
      <c r="H226" s="8" t="s">
        <v>30</v>
      </c>
      <c r="I226" s="8">
        <v>1050.0</v>
      </c>
      <c r="J226" s="4" t="str">
        <f t="shared" si="1"/>
        <v>Poland</v>
      </c>
      <c r="K226" s="4" t="str">
        <f t="shared" si="2"/>
        <v>Warsaw</v>
      </c>
      <c r="L226" s="4" t="b">
        <v>0</v>
      </c>
    </row>
    <row r="227">
      <c r="A227" s="8">
        <v>229.0</v>
      </c>
      <c r="B227" s="8" t="s">
        <v>31</v>
      </c>
      <c r="C227" s="8" t="s">
        <v>27</v>
      </c>
      <c r="D227" s="8" t="s">
        <v>35</v>
      </c>
      <c r="E227" s="17">
        <v>45776.0</v>
      </c>
      <c r="F227" s="16">
        <v>41.47</v>
      </c>
      <c r="G227" s="8" t="s">
        <v>40</v>
      </c>
      <c r="H227" s="8" t="s">
        <v>30</v>
      </c>
      <c r="I227" s="8">
        <v>1092.0</v>
      </c>
      <c r="J227" s="4" t="str">
        <f t="shared" si="1"/>
        <v>Czech Republic</v>
      </c>
      <c r="K227" s="4" t="str">
        <f t="shared" si="2"/>
        <v>Prague</v>
      </c>
      <c r="L227" s="4" t="b">
        <v>0</v>
      </c>
    </row>
    <row r="228">
      <c r="A228" s="8">
        <v>230.0</v>
      </c>
      <c r="B228" s="8" t="s">
        <v>26</v>
      </c>
      <c r="C228" s="8" t="s">
        <v>45</v>
      </c>
      <c r="D228" s="8" t="s">
        <v>32</v>
      </c>
      <c r="E228" s="17">
        <v>45668.0</v>
      </c>
      <c r="F228" s="16">
        <v>37.36</v>
      </c>
      <c r="G228" s="8" t="s">
        <v>58</v>
      </c>
      <c r="H228" s="8" t="s">
        <v>41</v>
      </c>
      <c r="I228" s="8">
        <v>1003.0</v>
      </c>
      <c r="J228" s="4" t="str">
        <f t="shared" si="1"/>
        <v>Poland</v>
      </c>
      <c r="K228" s="4" t="str">
        <f t="shared" si="2"/>
        <v>Warsaw</v>
      </c>
      <c r="L228" s="4" t="b">
        <v>1</v>
      </c>
    </row>
    <row r="229">
      <c r="A229" s="8">
        <v>231.0</v>
      </c>
      <c r="B229" s="8" t="s">
        <v>44</v>
      </c>
      <c r="C229" s="8" t="s">
        <v>42</v>
      </c>
      <c r="D229" s="8" t="s">
        <v>28</v>
      </c>
      <c r="E229" s="17">
        <v>45739.0</v>
      </c>
      <c r="F229" s="16">
        <v>46.03</v>
      </c>
      <c r="G229" s="8" t="s">
        <v>58</v>
      </c>
      <c r="H229" s="8" t="s">
        <v>33</v>
      </c>
      <c r="I229" s="8">
        <v>1098.0</v>
      </c>
      <c r="J229" s="4" t="str">
        <f t="shared" si="1"/>
        <v>Germany</v>
      </c>
      <c r="K229" s="4" t="str">
        <f t="shared" si="2"/>
        <v>Berlin</v>
      </c>
      <c r="L229" s="4" t="b">
        <v>0</v>
      </c>
    </row>
    <row r="230">
      <c r="A230" s="8">
        <v>232.0</v>
      </c>
      <c r="B230" s="8" t="s">
        <v>31</v>
      </c>
      <c r="C230" s="8" t="s">
        <v>45</v>
      </c>
      <c r="D230" s="8" t="s">
        <v>32</v>
      </c>
      <c r="E230" s="17">
        <v>45737.0</v>
      </c>
      <c r="F230" s="16">
        <v>79.47</v>
      </c>
      <c r="G230" s="8" t="s">
        <v>40</v>
      </c>
      <c r="H230" s="8" t="s">
        <v>30</v>
      </c>
      <c r="I230" s="8">
        <v>1049.0</v>
      </c>
      <c r="J230" s="4" t="str">
        <f t="shared" si="1"/>
        <v>Poland</v>
      </c>
      <c r="K230" s="4" t="str">
        <f t="shared" si="2"/>
        <v>Warsaw</v>
      </c>
      <c r="L230" s="4" t="b">
        <v>1</v>
      </c>
    </row>
    <row r="231">
      <c r="A231" s="8">
        <v>233.0</v>
      </c>
      <c r="B231" s="8" t="s">
        <v>34</v>
      </c>
      <c r="C231" s="8" t="s">
        <v>45</v>
      </c>
      <c r="D231" s="8" t="s">
        <v>43</v>
      </c>
      <c r="E231" s="17">
        <v>45698.0</v>
      </c>
      <c r="F231" s="16">
        <v>14.71</v>
      </c>
      <c r="G231" s="8" t="s">
        <v>29</v>
      </c>
      <c r="H231" s="8" t="s">
        <v>33</v>
      </c>
      <c r="I231" s="8">
        <v>1055.0</v>
      </c>
      <c r="J231" s="4" t="str">
        <f t="shared" si="1"/>
        <v>Poland</v>
      </c>
      <c r="K231" s="4" t="str">
        <f t="shared" si="2"/>
        <v>Warsaw</v>
      </c>
      <c r="L231" s="4" t="b">
        <v>0</v>
      </c>
    </row>
    <row r="232">
      <c r="A232" s="8">
        <v>234.0</v>
      </c>
      <c r="B232" s="8" t="s">
        <v>38</v>
      </c>
      <c r="C232" s="8" t="s">
        <v>42</v>
      </c>
      <c r="D232" s="8" t="s">
        <v>32</v>
      </c>
      <c r="E232" s="21">
        <v>45715.0</v>
      </c>
      <c r="F232" s="16">
        <v>13.84</v>
      </c>
      <c r="G232" s="8" t="s">
        <v>36</v>
      </c>
      <c r="H232" s="8" t="s">
        <v>41</v>
      </c>
      <c r="I232" s="8">
        <v>1001.0</v>
      </c>
      <c r="J232" s="4" t="str">
        <f t="shared" si="1"/>
        <v>Germany</v>
      </c>
      <c r="K232" s="4" t="str">
        <f t="shared" si="2"/>
        <v>Berlin</v>
      </c>
      <c r="L232" s="4" t="b">
        <v>0</v>
      </c>
    </row>
    <row r="233">
      <c r="A233" s="8">
        <v>235.0</v>
      </c>
      <c r="B233" s="8" t="s">
        <v>34</v>
      </c>
      <c r="C233" s="8" t="s">
        <v>27</v>
      </c>
      <c r="D233" s="8" t="s">
        <v>28</v>
      </c>
      <c r="E233" s="17">
        <v>45695.0</v>
      </c>
      <c r="F233" s="16">
        <v>30.55</v>
      </c>
      <c r="G233" s="8" t="s">
        <v>36</v>
      </c>
      <c r="H233" s="8" t="s">
        <v>41</v>
      </c>
      <c r="I233" s="8">
        <v>1018.0</v>
      </c>
      <c r="J233" s="4" t="str">
        <f t="shared" si="1"/>
        <v>Czech Republic</v>
      </c>
      <c r="K233" s="4" t="str">
        <f t="shared" si="2"/>
        <v>Prague</v>
      </c>
      <c r="L233" s="4" t="b">
        <v>1</v>
      </c>
    </row>
    <row r="234">
      <c r="A234" s="8">
        <v>236.0</v>
      </c>
      <c r="B234" s="8" t="s">
        <v>26</v>
      </c>
      <c r="C234" s="8" t="s">
        <v>42</v>
      </c>
      <c r="D234" s="8" t="s">
        <v>43</v>
      </c>
      <c r="E234" s="17">
        <v>45666.0</v>
      </c>
      <c r="F234" s="16">
        <v>28.91</v>
      </c>
      <c r="G234" s="8" t="s">
        <v>40</v>
      </c>
      <c r="H234" s="8" t="s">
        <v>30</v>
      </c>
      <c r="I234" s="8">
        <v>1080.0</v>
      </c>
      <c r="J234" s="4" t="str">
        <f t="shared" si="1"/>
        <v>Germany</v>
      </c>
      <c r="K234" s="4" t="str">
        <f t="shared" si="2"/>
        <v>Berlin</v>
      </c>
      <c r="L234" s="4" t="b">
        <v>0</v>
      </c>
    </row>
    <row r="235">
      <c r="A235" s="8">
        <v>237.0</v>
      </c>
      <c r="B235" s="8" t="s">
        <v>31</v>
      </c>
      <c r="C235" s="8" t="s">
        <v>42</v>
      </c>
      <c r="D235" s="8" t="s">
        <v>32</v>
      </c>
      <c r="E235" s="17">
        <v>45721.0</v>
      </c>
      <c r="F235" s="16"/>
      <c r="G235" s="8" t="s">
        <v>58</v>
      </c>
      <c r="H235" s="8" t="s">
        <v>41</v>
      </c>
      <c r="I235" s="8">
        <v>1079.0</v>
      </c>
      <c r="J235" s="4" t="str">
        <f t="shared" si="1"/>
        <v>Germany</v>
      </c>
      <c r="K235" s="4" t="str">
        <f t="shared" si="2"/>
        <v>Berlin</v>
      </c>
      <c r="L235" s="4" t="b">
        <v>0</v>
      </c>
    </row>
    <row r="236">
      <c r="A236" s="8">
        <v>238.0</v>
      </c>
      <c r="B236" s="8" t="s">
        <v>26</v>
      </c>
      <c r="C236" s="8" t="s">
        <v>42</v>
      </c>
      <c r="D236" s="8" t="s">
        <v>43</v>
      </c>
      <c r="E236" s="17">
        <v>45706.0</v>
      </c>
      <c r="F236" s="16">
        <v>66.85</v>
      </c>
      <c r="G236" s="8" t="s">
        <v>40</v>
      </c>
      <c r="H236" s="8" t="s">
        <v>41</v>
      </c>
      <c r="I236" s="8">
        <v>1041.0</v>
      </c>
      <c r="J236" s="4" t="str">
        <f t="shared" si="1"/>
        <v>Germany</v>
      </c>
      <c r="K236" s="4" t="str">
        <f t="shared" si="2"/>
        <v>Berlin</v>
      </c>
      <c r="L236" s="4" t="b">
        <v>0</v>
      </c>
    </row>
    <row r="237">
      <c r="A237" s="8">
        <v>239.0</v>
      </c>
      <c r="B237" s="8" t="s">
        <v>31</v>
      </c>
      <c r="C237" s="8" t="s">
        <v>42</v>
      </c>
      <c r="D237" s="8" t="s">
        <v>43</v>
      </c>
      <c r="E237" s="17">
        <v>45735.0</v>
      </c>
      <c r="F237" s="16">
        <v>35.32</v>
      </c>
      <c r="G237" s="8" t="s">
        <v>58</v>
      </c>
      <c r="H237" s="8" t="s">
        <v>30</v>
      </c>
      <c r="I237" s="8">
        <v>1100.0</v>
      </c>
      <c r="J237" s="4" t="str">
        <f t="shared" si="1"/>
        <v>Germany</v>
      </c>
      <c r="K237" s="4" t="str">
        <f t="shared" si="2"/>
        <v>Berlin</v>
      </c>
      <c r="L237" s="4" t="b">
        <v>0</v>
      </c>
    </row>
    <row r="238">
      <c r="A238" s="8">
        <v>240.0</v>
      </c>
      <c r="B238" s="8" t="s">
        <v>26</v>
      </c>
      <c r="C238" s="8" t="s">
        <v>42</v>
      </c>
      <c r="D238" s="8" t="s">
        <v>43</v>
      </c>
      <c r="E238" s="17">
        <v>45689.0</v>
      </c>
      <c r="F238" s="16">
        <v>61.26</v>
      </c>
      <c r="G238" s="8" t="s">
        <v>40</v>
      </c>
      <c r="H238" s="8" t="s">
        <v>30</v>
      </c>
      <c r="I238" s="8">
        <v>1098.0</v>
      </c>
      <c r="J238" s="4" t="str">
        <f t="shared" si="1"/>
        <v>Germany</v>
      </c>
      <c r="K238" s="4" t="str">
        <f t="shared" si="2"/>
        <v>Berlin</v>
      </c>
      <c r="L238" s="4" t="b">
        <v>0</v>
      </c>
    </row>
    <row r="239">
      <c r="A239" s="8">
        <v>241.0</v>
      </c>
      <c r="B239" s="8" t="s">
        <v>44</v>
      </c>
      <c r="C239" s="8" t="s">
        <v>27</v>
      </c>
      <c r="D239" s="8" t="s">
        <v>35</v>
      </c>
      <c r="E239" s="17">
        <v>45728.0</v>
      </c>
      <c r="F239" s="16">
        <v>11.57</v>
      </c>
      <c r="G239" s="8" t="s">
        <v>58</v>
      </c>
      <c r="H239" s="8" t="s">
        <v>30</v>
      </c>
      <c r="I239" s="8">
        <v>1063.0</v>
      </c>
      <c r="J239" s="4" t="str">
        <f t="shared" si="1"/>
        <v>Czech Republic</v>
      </c>
      <c r="K239" s="4" t="str">
        <f t="shared" si="2"/>
        <v>Prague</v>
      </c>
      <c r="L239" s="4" t="b">
        <v>0</v>
      </c>
    </row>
    <row r="240">
      <c r="A240" s="8">
        <v>242.0</v>
      </c>
      <c r="B240" s="8" t="s">
        <v>31</v>
      </c>
      <c r="C240" s="8" t="s">
        <v>37</v>
      </c>
      <c r="D240" s="8" t="s">
        <v>28</v>
      </c>
      <c r="E240" s="17">
        <v>45675.0</v>
      </c>
      <c r="F240" s="16">
        <v>12.03</v>
      </c>
      <c r="G240" s="8" t="s">
        <v>58</v>
      </c>
      <c r="H240" s="8" t="s">
        <v>30</v>
      </c>
      <c r="I240" s="8">
        <v>1051.0</v>
      </c>
      <c r="J240" s="4" t="str">
        <f t="shared" si="1"/>
        <v>Ukraine</v>
      </c>
      <c r="K240" s="4" t="str">
        <f t="shared" si="2"/>
        <v>Kyiv</v>
      </c>
      <c r="L240" s="4" t="b">
        <v>0</v>
      </c>
    </row>
    <row r="241">
      <c r="A241" s="8">
        <v>243.0</v>
      </c>
      <c r="B241" s="8" t="s">
        <v>44</v>
      </c>
      <c r="C241" s="8" t="s">
        <v>45</v>
      </c>
      <c r="D241" s="8" t="s">
        <v>43</v>
      </c>
      <c r="E241" s="17">
        <v>45726.0</v>
      </c>
      <c r="F241" s="16">
        <v>61.41</v>
      </c>
      <c r="G241" s="8" t="s">
        <v>29</v>
      </c>
      <c r="H241" s="8" t="s">
        <v>33</v>
      </c>
      <c r="I241" s="8">
        <v>1098.0</v>
      </c>
      <c r="J241" s="4" t="str">
        <f t="shared" si="1"/>
        <v>Poland</v>
      </c>
      <c r="K241" s="4" t="str">
        <f t="shared" si="2"/>
        <v>Warsaw</v>
      </c>
      <c r="L241" s="4" t="b">
        <v>0</v>
      </c>
    </row>
    <row r="242">
      <c r="A242" s="8">
        <v>244.0</v>
      </c>
      <c r="B242" s="8" t="s">
        <v>26</v>
      </c>
      <c r="C242" s="8" t="s">
        <v>27</v>
      </c>
      <c r="D242" s="8" t="s">
        <v>32</v>
      </c>
      <c r="E242" s="17">
        <v>45689.0</v>
      </c>
      <c r="F242" s="16">
        <v>66.44</v>
      </c>
      <c r="G242" s="8" t="s">
        <v>36</v>
      </c>
      <c r="H242" s="8" t="s">
        <v>41</v>
      </c>
      <c r="I242" s="8">
        <v>1013.0</v>
      </c>
      <c r="J242" s="4" t="str">
        <f t="shared" si="1"/>
        <v>Czech Republic</v>
      </c>
      <c r="K242" s="4" t="str">
        <f t="shared" si="2"/>
        <v>Prague</v>
      </c>
      <c r="L242" s="4" t="b">
        <v>0</v>
      </c>
    </row>
    <row r="243">
      <c r="A243" s="8">
        <v>245.0</v>
      </c>
      <c r="B243" s="8" t="s">
        <v>31</v>
      </c>
      <c r="C243" s="8" t="s">
        <v>27</v>
      </c>
      <c r="D243" s="8" t="s">
        <v>35</v>
      </c>
      <c r="E243" s="17">
        <v>45659.0</v>
      </c>
      <c r="F243" s="16">
        <v>69.56</v>
      </c>
      <c r="G243" s="8" t="s">
        <v>40</v>
      </c>
      <c r="H243" s="8" t="s">
        <v>41</v>
      </c>
      <c r="I243" s="8">
        <v>1003.0</v>
      </c>
      <c r="J243" s="4" t="str">
        <f t="shared" si="1"/>
        <v>Czech Republic</v>
      </c>
      <c r="K243" s="4" t="str">
        <f t="shared" si="2"/>
        <v>Prague</v>
      </c>
      <c r="L243" s="4" t="b">
        <v>0</v>
      </c>
    </row>
    <row r="244">
      <c r="A244" s="8">
        <v>246.0</v>
      </c>
      <c r="B244" s="8" t="s">
        <v>44</v>
      </c>
      <c r="C244" s="8" t="s">
        <v>45</v>
      </c>
      <c r="D244" s="8" t="s">
        <v>32</v>
      </c>
      <c r="E244" s="17">
        <v>45719.0</v>
      </c>
      <c r="F244" s="16">
        <v>38.09</v>
      </c>
      <c r="G244" s="8" t="s">
        <v>36</v>
      </c>
      <c r="H244" s="8" t="s">
        <v>41</v>
      </c>
      <c r="I244" s="8">
        <v>1100.0</v>
      </c>
      <c r="J244" s="4" t="str">
        <f t="shared" si="1"/>
        <v>Poland</v>
      </c>
      <c r="K244" s="4" t="str">
        <f t="shared" si="2"/>
        <v>Warsaw</v>
      </c>
      <c r="L244" s="4" t="b">
        <v>1</v>
      </c>
    </row>
    <row r="245">
      <c r="A245" s="8">
        <v>247.0</v>
      </c>
      <c r="B245" s="8" t="s">
        <v>26</v>
      </c>
      <c r="C245" s="8" t="s">
        <v>42</v>
      </c>
      <c r="D245" s="8" t="s">
        <v>32</v>
      </c>
      <c r="E245" s="17">
        <v>45684.0</v>
      </c>
      <c r="F245" s="16">
        <v>35.3</v>
      </c>
      <c r="G245" s="8" t="s">
        <v>36</v>
      </c>
      <c r="H245" s="8" t="s">
        <v>33</v>
      </c>
      <c r="I245" s="8">
        <v>1090.0</v>
      </c>
      <c r="J245" s="4" t="str">
        <f t="shared" si="1"/>
        <v>Germany</v>
      </c>
      <c r="K245" s="4" t="str">
        <f t="shared" si="2"/>
        <v>Berlin</v>
      </c>
      <c r="L245" s="4" t="b">
        <v>0</v>
      </c>
    </row>
    <row r="246">
      <c r="A246" s="8">
        <v>248.0</v>
      </c>
      <c r="B246" s="8" t="s">
        <v>26</v>
      </c>
      <c r="C246" s="8" t="s">
        <v>45</v>
      </c>
      <c r="D246" s="8" t="s">
        <v>28</v>
      </c>
      <c r="E246" s="17">
        <v>45672.0</v>
      </c>
      <c r="F246" s="16">
        <v>54.02</v>
      </c>
      <c r="G246" s="8" t="s">
        <v>40</v>
      </c>
      <c r="H246" s="8" t="s">
        <v>41</v>
      </c>
      <c r="I246" s="8">
        <v>1071.0</v>
      </c>
      <c r="J246" s="4" t="str">
        <f t="shared" si="1"/>
        <v>Poland</v>
      </c>
      <c r="K246" s="4" t="str">
        <f t="shared" si="2"/>
        <v>Warsaw</v>
      </c>
      <c r="L246" s="4" t="b">
        <v>0</v>
      </c>
    </row>
    <row r="247">
      <c r="A247" s="8">
        <v>249.0</v>
      </c>
      <c r="B247" s="8" t="s">
        <v>31</v>
      </c>
      <c r="C247" s="8" t="s">
        <v>42</v>
      </c>
      <c r="D247" s="8" t="s">
        <v>28</v>
      </c>
      <c r="E247" s="17">
        <v>45712.0</v>
      </c>
      <c r="F247" s="16">
        <v>42.58</v>
      </c>
      <c r="G247" s="8" t="s">
        <v>40</v>
      </c>
      <c r="H247" s="8" t="s">
        <v>41</v>
      </c>
      <c r="I247" s="8">
        <v>1075.0</v>
      </c>
      <c r="J247" s="4" t="str">
        <f t="shared" si="1"/>
        <v>Germany</v>
      </c>
      <c r="K247" s="4" t="str">
        <f t="shared" si="2"/>
        <v>Berlin</v>
      </c>
      <c r="L247" s="4" t="b">
        <v>0</v>
      </c>
    </row>
    <row r="248">
      <c r="A248" s="8">
        <v>250.0</v>
      </c>
      <c r="B248" s="8" t="s">
        <v>31</v>
      </c>
      <c r="C248" s="8" t="s">
        <v>27</v>
      </c>
      <c r="D248" s="8" t="s">
        <v>43</v>
      </c>
      <c r="E248" s="17">
        <v>45712.0</v>
      </c>
      <c r="F248" s="16">
        <v>10.94</v>
      </c>
      <c r="G248" s="8" t="s">
        <v>29</v>
      </c>
      <c r="H248" s="8" t="s">
        <v>30</v>
      </c>
      <c r="I248" s="8">
        <v>1023.0</v>
      </c>
      <c r="J248" s="4" t="str">
        <f t="shared" si="1"/>
        <v>Czech Republic</v>
      </c>
      <c r="K248" s="4" t="str">
        <f t="shared" si="2"/>
        <v>Prague</v>
      </c>
      <c r="L248" s="4" t="b">
        <v>0</v>
      </c>
    </row>
    <row r="249">
      <c r="A249" s="8">
        <v>251.0</v>
      </c>
      <c r="B249" s="8" t="s">
        <v>44</v>
      </c>
      <c r="C249" s="8" t="s">
        <v>45</v>
      </c>
      <c r="D249" s="8" t="s">
        <v>43</v>
      </c>
      <c r="E249" s="17">
        <v>45704.0</v>
      </c>
      <c r="F249" s="16">
        <v>96.76</v>
      </c>
      <c r="G249" s="8" t="s">
        <v>36</v>
      </c>
      <c r="H249" s="8" t="s">
        <v>30</v>
      </c>
      <c r="I249" s="8">
        <v>1049.0</v>
      </c>
      <c r="J249" s="4" t="str">
        <f t="shared" si="1"/>
        <v>Poland</v>
      </c>
      <c r="K249" s="4" t="str">
        <f t="shared" si="2"/>
        <v>Warsaw</v>
      </c>
      <c r="L249" s="4" t="b">
        <v>0</v>
      </c>
    </row>
    <row r="250">
      <c r="A250" s="8">
        <v>252.0</v>
      </c>
      <c r="B250" s="8" t="s">
        <v>34</v>
      </c>
      <c r="C250" s="8" t="s">
        <v>37</v>
      </c>
      <c r="D250" s="8" t="s">
        <v>43</v>
      </c>
      <c r="E250" s="17">
        <v>45736.0</v>
      </c>
      <c r="F250" s="16">
        <v>82.31</v>
      </c>
      <c r="G250" s="8" t="s">
        <v>36</v>
      </c>
      <c r="H250" s="8" t="s">
        <v>30</v>
      </c>
      <c r="I250" s="8">
        <v>1075.0</v>
      </c>
      <c r="J250" s="4" t="str">
        <f t="shared" si="1"/>
        <v>Ukraine</v>
      </c>
      <c r="K250" s="4" t="str">
        <f t="shared" si="2"/>
        <v>Kyiv</v>
      </c>
      <c r="L250" s="4" t="b">
        <v>1</v>
      </c>
    </row>
    <row r="251">
      <c r="A251" s="8">
        <v>253.0</v>
      </c>
      <c r="B251" s="8" t="s">
        <v>26</v>
      </c>
      <c r="C251" s="8" t="s">
        <v>45</v>
      </c>
      <c r="D251" s="8" t="s">
        <v>28</v>
      </c>
      <c r="E251" s="17">
        <v>45668.0</v>
      </c>
      <c r="F251" s="16">
        <v>70.88</v>
      </c>
      <c r="G251" s="8" t="s">
        <v>58</v>
      </c>
      <c r="H251" s="8" t="s">
        <v>41</v>
      </c>
      <c r="I251" s="8">
        <v>1076.0</v>
      </c>
      <c r="J251" s="4" t="str">
        <f t="shared" si="1"/>
        <v>Poland</v>
      </c>
      <c r="K251" s="4" t="str">
        <f t="shared" si="2"/>
        <v>Warsaw</v>
      </c>
      <c r="L251" s="4" t="b">
        <v>0</v>
      </c>
    </row>
    <row r="252">
      <c r="A252" s="8">
        <v>254.0</v>
      </c>
      <c r="B252" s="8" t="s">
        <v>44</v>
      </c>
      <c r="C252" s="8" t="s">
        <v>27</v>
      </c>
      <c r="D252" s="8" t="s">
        <v>35</v>
      </c>
      <c r="E252" s="17">
        <v>45675.0</v>
      </c>
      <c r="F252" s="16">
        <v>66.3</v>
      </c>
      <c r="G252" s="8" t="s">
        <v>40</v>
      </c>
      <c r="H252" s="8" t="s">
        <v>30</v>
      </c>
      <c r="I252" s="8">
        <v>1021.0</v>
      </c>
      <c r="J252" s="4" t="str">
        <f t="shared" si="1"/>
        <v>Czech Republic</v>
      </c>
      <c r="K252" s="4" t="str">
        <f t="shared" si="2"/>
        <v>Prague</v>
      </c>
      <c r="L252" s="4" t="b">
        <v>0</v>
      </c>
    </row>
    <row r="253">
      <c r="A253" s="8">
        <v>255.0</v>
      </c>
      <c r="B253" s="8" t="s">
        <v>31</v>
      </c>
      <c r="C253" s="8" t="s">
        <v>37</v>
      </c>
      <c r="D253" s="8" t="s">
        <v>35</v>
      </c>
      <c r="E253" s="17">
        <v>45720.0</v>
      </c>
      <c r="F253" s="16">
        <v>95.42</v>
      </c>
      <c r="G253" s="8" t="s">
        <v>58</v>
      </c>
      <c r="H253" s="8" t="s">
        <v>33</v>
      </c>
      <c r="I253" s="8">
        <v>1024.0</v>
      </c>
      <c r="J253" s="4" t="str">
        <f t="shared" si="1"/>
        <v>Ukraine</v>
      </c>
      <c r="K253" s="4" t="str">
        <f t="shared" si="2"/>
        <v>Kyiv</v>
      </c>
      <c r="L253" s="4" t="b">
        <v>0</v>
      </c>
    </row>
    <row r="254">
      <c r="A254" s="8">
        <v>256.0</v>
      </c>
      <c r="B254" s="8" t="s">
        <v>38</v>
      </c>
      <c r="C254" s="8" t="s">
        <v>42</v>
      </c>
      <c r="D254" s="8" t="s">
        <v>35</v>
      </c>
      <c r="E254" s="17">
        <v>45762.0</v>
      </c>
      <c r="F254" s="16">
        <v>84.79</v>
      </c>
      <c r="G254" s="8" t="s">
        <v>58</v>
      </c>
      <c r="H254" s="8" t="s">
        <v>33</v>
      </c>
      <c r="I254" s="8">
        <v>1010.0</v>
      </c>
      <c r="J254" s="4" t="str">
        <f t="shared" si="1"/>
        <v>Germany</v>
      </c>
      <c r="K254" s="4" t="str">
        <f t="shared" si="2"/>
        <v>Berlin</v>
      </c>
      <c r="L254" s="4" t="b">
        <v>1</v>
      </c>
    </row>
    <row r="255">
      <c r="A255" s="8">
        <v>257.0</v>
      </c>
      <c r="B255" s="8" t="s">
        <v>31</v>
      </c>
      <c r="C255" s="8" t="s">
        <v>37</v>
      </c>
      <c r="D255" s="8" t="s">
        <v>32</v>
      </c>
      <c r="E255" s="17">
        <v>45730.0</v>
      </c>
      <c r="F255" s="16">
        <v>20.98</v>
      </c>
      <c r="G255" s="8" t="s">
        <v>58</v>
      </c>
      <c r="H255" s="8" t="s">
        <v>30</v>
      </c>
      <c r="I255" s="8">
        <v>1095.0</v>
      </c>
      <c r="J255" s="4" t="str">
        <f t="shared" si="1"/>
        <v>Ukraine</v>
      </c>
      <c r="K255" s="4" t="str">
        <f t="shared" si="2"/>
        <v>Kyiv</v>
      </c>
      <c r="L255" s="4" t="b">
        <v>0</v>
      </c>
    </row>
    <row r="256">
      <c r="A256" s="8">
        <v>258.0</v>
      </c>
      <c r="B256" s="8" t="s">
        <v>38</v>
      </c>
      <c r="C256" s="8" t="s">
        <v>45</v>
      </c>
      <c r="D256" s="8" t="s">
        <v>32</v>
      </c>
      <c r="E256" s="17">
        <v>45756.0</v>
      </c>
      <c r="F256" s="16">
        <v>99.13</v>
      </c>
      <c r="G256" s="8" t="s">
        <v>29</v>
      </c>
      <c r="H256" s="8" t="s">
        <v>30</v>
      </c>
      <c r="I256" s="8">
        <v>1056.0</v>
      </c>
      <c r="J256" s="4" t="str">
        <f t="shared" si="1"/>
        <v>Poland</v>
      </c>
      <c r="K256" s="4" t="str">
        <f t="shared" si="2"/>
        <v>Warsaw</v>
      </c>
      <c r="L256" s="4" t="b">
        <v>1</v>
      </c>
    </row>
    <row r="257">
      <c r="A257" s="8">
        <v>259.0</v>
      </c>
      <c r="B257" s="8" t="s">
        <v>44</v>
      </c>
      <c r="C257" s="8" t="s">
        <v>45</v>
      </c>
      <c r="D257" s="8" t="s">
        <v>28</v>
      </c>
      <c r="E257" s="17">
        <v>45727.0</v>
      </c>
      <c r="F257" s="16">
        <v>47.72</v>
      </c>
      <c r="G257" s="8" t="s">
        <v>36</v>
      </c>
      <c r="H257" s="8" t="s">
        <v>33</v>
      </c>
      <c r="I257" s="8">
        <v>1056.0</v>
      </c>
      <c r="J257" s="4" t="str">
        <f t="shared" si="1"/>
        <v>Poland</v>
      </c>
      <c r="K257" s="4" t="str">
        <f t="shared" si="2"/>
        <v>Warsaw</v>
      </c>
      <c r="L257" s="4" t="b">
        <v>0</v>
      </c>
    </row>
    <row r="258">
      <c r="A258" s="8">
        <v>260.0</v>
      </c>
      <c r="B258" s="8" t="s">
        <v>31</v>
      </c>
      <c r="C258" s="8" t="s">
        <v>27</v>
      </c>
      <c r="D258" s="8" t="s">
        <v>43</v>
      </c>
      <c r="E258" s="17">
        <v>45768.0</v>
      </c>
      <c r="F258" s="16">
        <v>45.68</v>
      </c>
      <c r="G258" s="8" t="s">
        <v>40</v>
      </c>
      <c r="H258" s="8" t="s">
        <v>33</v>
      </c>
      <c r="I258" s="8">
        <v>1026.0</v>
      </c>
      <c r="J258" s="4" t="str">
        <f t="shared" si="1"/>
        <v>Czech Republic</v>
      </c>
      <c r="K258" s="4" t="str">
        <f t="shared" si="2"/>
        <v>Prague</v>
      </c>
      <c r="L258" s="4" t="b">
        <v>0</v>
      </c>
    </row>
    <row r="259">
      <c r="A259" s="8">
        <v>261.0</v>
      </c>
      <c r="B259" s="8" t="s">
        <v>26</v>
      </c>
      <c r="C259" s="8" t="s">
        <v>37</v>
      </c>
      <c r="D259" s="8" t="s">
        <v>28</v>
      </c>
      <c r="E259" s="17">
        <v>45761.0</v>
      </c>
      <c r="F259" s="16">
        <v>32.49</v>
      </c>
      <c r="G259" s="8" t="s">
        <v>36</v>
      </c>
      <c r="H259" s="8" t="s">
        <v>30</v>
      </c>
      <c r="I259" s="8">
        <v>1086.0</v>
      </c>
      <c r="J259" s="4" t="str">
        <f t="shared" si="1"/>
        <v>Ukraine</v>
      </c>
      <c r="K259" s="4" t="str">
        <f t="shared" si="2"/>
        <v>Kyiv</v>
      </c>
      <c r="L259" s="4" t="b">
        <v>0</v>
      </c>
    </row>
    <row r="260">
      <c r="A260" s="8">
        <v>262.0</v>
      </c>
      <c r="B260" s="8" t="s">
        <v>44</v>
      </c>
      <c r="C260" s="8" t="s">
        <v>45</v>
      </c>
      <c r="D260" s="8" t="s">
        <v>43</v>
      </c>
      <c r="E260" s="17">
        <v>45762.0</v>
      </c>
      <c r="F260" s="16">
        <v>87.28</v>
      </c>
      <c r="G260" s="8" t="s">
        <v>40</v>
      </c>
      <c r="H260" s="8" t="s">
        <v>33</v>
      </c>
      <c r="I260" s="8">
        <v>1091.0</v>
      </c>
      <c r="J260" s="4" t="str">
        <f t="shared" si="1"/>
        <v>Poland</v>
      </c>
      <c r="K260" s="4" t="str">
        <f t="shared" si="2"/>
        <v>Warsaw</v>
      </c>
      <c r="L260" s="4" t="b">
        <v>0</v>
      </c>
    </row>
    <row r="261">
      <c r="A261" s="8">
        <v>263.0</v>
      </c>
      <c r="B261" s="8" t="s">
        <v>44</v>
      </c>
      <c r="C261" s="8" t="s">
        <v>42</v>
      </c>
      <c r="D261" s="8" t="s">
        <v>28</v>
      </c>
      <c r="E261" s="17">
        <v>45699.0</v>
      </c>
      <c r="F261" s="16">
        <v>44.35</v>
      </c>
      <c r="G261" s="8" t="s">
        <v>58</v>
      </c>
      <c r="H261" s="8" t="s">
        <v>33</v>
      </c>
      <c r="I261" s="8">
        <v>1081.0</v>
      </c>
      <c r="J261" s="4" t="str">
        <f t="shared" si="1"/>
        <v>Germany</v>
      </c>
      <c r="K261" s="4" t="str">
        <f t="shared" si="2"/>
        <v>Berlin</v>
      </c>
      <c r="L261" s="4" t="b">
        <v>0</v>
      </c>
    </row>
    <row r="262">
      <c r="A262" s="8">
        <v>264.0</v>
      </c>
      <c r="B262" s="8" t="s">
        <v>34</v>
      </c>
      <c r="C262" s="8" t="s">
        <v>42</v>
      </c>
      <c r="D262" s="8" t="s">
        <v>43</v>
      </c>
      <c r="E262" s="17">
        <v>45759.0</v>
      </c>
      <c r="F262" s="16">
        <v>48.2</v>
      </c>
      <c r="G262" s="8" t="s">
        <v>58</v>
      </c>
      <c r="H262" s="8" t="s">
        <v>41</v>
      </c>
      <c r="I262" s="8">
        <v>1074.0</v>
      </c>
      <c r="J262" s="4" t="str">
        <f t="shared" si="1"/>
        <v>Germany</v>
      </c>
      <c r="K262" s="4" t="str">
        <f t="shared" si="2"/>
        <v>Berlin</v>
      </c>
      <c r="L262" s="4" t="b">
        <v>0</v>
      </c>
    </row>
    <row r="263">
      <c r="A263" s="8">
        <v>265.0</v>
      </c>
      <c r="B263" s="8" t="s">
        <v>34</v>
      </c>
      <c r="C263" s="8" t="s">
        <v>42</v>
      </c>
      <c r="D263" s="8" t="s">
        <v>43</v>
      </c>
      <c r="E263" s="17">
        <v>45658.0</v>
      </c>
      <c r="F263" s="16">
        <v>42.78</v>
      </c>
      <c r="G263" s="8" t="s">
        <v>58</v>
      </c>
      <c r="H263" s="8" t="s">
        <v>33</v>
      </c>
      <c r="I263" s="8">
        <v>1063.0</v>
      </c>
      <c r="J263" s="4" t="str">
        <f t="shared" si="1"/>
        <v>Germany</v>
      </c>
      <c r="K263" s="4" t="str">
        <f t="shared" si="2"/>
        <v>Berlin</v>
      </c>
      <c r="L263" s="4" t="b">
        <v>0</v>
      </c>
    </row>
    <row r="264">
      <c r="A264" s="8">
        <v>266.0</v>
      </c>
      <c r="B264" s="8" t="s">
        <v>26</v>
      </c>
      <c r="C264" s="8" t="s">
        <v>37</v>
      </c>
      <c r="D264" s="8" t="s">
        <v>28</v>
      </c>
      <c r="E264" s="17">
        <v>45692.0</v>
      </c>
      <c r="F264" s="16">
        <v>37.66</v>
      </c>
      <c r="G264" s="8" t="s">
        <v>29</v>
      </c>
      <c r="H264" s="8" t="s">
        <v>33</v>
      </c>
      <c r="I264" s="8">
        <v>1012.0</v>
      </c>
      <c r="J264" s="4" t="str">
        <f t="shared" si="1"/>
        <v>Ukraine</v>
      </c>
      <c r="K264" s="4" t="str">
        <f t="shared" si="2"/>
        <v>Kyiv</v>
      </c>
      <c r="L264" s="4" t="b">
        <v>0</v>
      </c>
    </row>
    <row r="265">
      <c r="A265" s="8">
        <v>267.0</v>
      </c>
      <c r="B265" s="8" t="s">
        <v>44</v>
      </c>
      <c r="C265" s="8" t="s">
        <v>45</v>
      </c>
      <c r="D265" s="8" t="s">
        <v>32</v>
      </c>
      <c r="E265" s="17">
        <v>45738.0</v>
      </c>
      <c r="F265" s="16">
        <v>48.37</v>
      </c>
      <c r="G265" s="8" t="s">
        <v>58</v>
      </c>
      <c r="H265" s="8" t="s">
        <v>33</v>
      </c>
      <c r="I265" s="8">
        <v>1088.0</v>
      </c>
      <c r="J265" s="4" t="str">
        <f t="shared" si="1"/>
        <v>Poland</v>
      </c>
      <c r="K265" s="4" t="str">
        <f t="shared" si="2"/>
        <v>Warsaw</v>
      </c>
      <c r="L265" s="4" t="b">
        <v>1</v>
      </c>
    </row>
    <row r="266">
      <c r="A266" s="8">
        <v>268.0</v>
      </c>
      <c r="B266" s="8" t="s">
        <v>26</v>
      </c>
      <c r="C266" s="8" t="s">
        <v>27</v>
      </c>
      <c r="D266" s="8" t="s">
        <v>43</v>
      </c>
      <c r="E266" s="17">
        <v>45774.0</v>
      </c>
      <c r="F266" s="16">
        <v>12.83</v>
      </c>
      <c r="G266" s="8" t="s">
        <v>40</v>
      </c>
      <c r="H266" s="8" t="s">
        <v>33</v>
      </c>
      <c r="I266" s="8">
        <v>1050.0</v>
      </c>
      <c r="J266" s="4" t="str">
        <f t="shared" si="1"/>
        <v>Czech Republic</v>
      </c>
      <c r="K266" s="4" t="str">
        <f t="shared" si="2"/>
        <v>Prague</v>
      </c>
      <c r="L266" s="4" t="b">
        <v>0</v>
      </c>
    </row>
    <row r="267">
      <c r="A267" s="8">
        <v>269.0</v>
      </c>
      <c r="B267" s="8" t="s">
        <v>31</v>
      </c>
      <c r="C267" s="8" t="s">
        <v>42</v>
      </c>
      <c r="D267" s="8" t="s">
        <v>32</v>
      </c>
      <c r="E267" s="17">
        <v>45738.0</v>
      </c>
      <c r="F267" s="16"/>
      <c r="G267" s="8" t="s">
        <v>58</v>
      </c>
      <c r="H267" s="8" t="s">
        <v>33</v>
      </c>
      <c r="I267" s="8">
        <v>1016.0</v>
      </c>
      <c r="J267" s="4" t="str">
        <f t="shared" si="1"/>
        <v>Germany</v>
      </c>
      <c r="K267" s="4" t="str">
        <f t="shared" si="2"/>
        <v>Berlin</v>
      </c>
      <c r="L267" s="4" t="b">
        <v>0</v>
      </c>
    </row>
    <row r="268">
      <c r="A268" s="8">
        <v>270.0</v>
      </c>
      <c r="B268" s="8" t="s">
        <v>44</v>
      </c>
      <c r="C268" s="8" t="s">
        <v>45</v>
      </c>
      <c r="D268" s="8" t="s">
        <v>32</v>
      </c>
      <c r="E268" s="17">
        <v>45733.0</v>
      </c>
      <c r="F268" s="16">
        <v>98.87</v>
      </c>
      <c r="G268" s="8" t="s">
        <v>58</v>
      </c>
      <c r="H268" s="8" t="s">
        <v>30</v>
      </c>
      <c r="I268" s="8">
        <v>1016.0</v>
      </c>
      <c r="J268" s="4" t="str">
        <f t="shared" si="1"/>
        <v>Poland</v>
      </c>
      <c r="K268" s="4" t="str">
        <f t="shared" si="2"/>
        <v>Warsaw</v>
      </c>
      <c r="L268" s="4" t="b">
        <v>1</v>
      </c>
    </row>
    <row r="269">
      <c r="A269" s="8">
        <v>271.0</v>
      </c>
      <c r="B269" s="8" t="s">
        <v>44</v>
      </c>
      <c r="C269" s="8" t="s">
        <v>45</v>
      </c>
      <c r="D269" s="8" t="s">
        <v>32</v>
      </c>
      <c r="E269" s="17">
        <v>45719.0</v>
      </c>
      <c r="F269" s="16">
        <v>33.43</v>
      </c>
      <c r="G269" s="8" t="s">
        <v>58</v>
      </c>
      <c r="H269" s="8" t="s">
        <v>33</v>
      </c>
      <c r="I269" s="8">
        <v>1082.0</v>
      </c>
      <c r="J269" s="4" t="str">
        <f t="shared" si="1"/>
        <v>Poland</v>
      </c>
      <c r="K269" s="4" t="str">
        <f t="shared" si="2"/>
        <v>Warsaw</v>
      </c>
      <c r="L269" s="4" t="b">
        <v>1</v>
      </c>
    </row>
    <row r="270">
      <c r="A270" s="8">
        <v>272.0</v>
      </c>
      <c r="B270" s="8" t="s">
        <v>38</v>
      </c>
      <c r="C270" s="8" t="s">
        <v>45</v>
      </c>
      <c r="D270" s="8" t="s">
        <v>28</v>
      </c>
      <c r="E270" s="17">
        <v>45744.0</v>
      </c>
      <c r="F270" s="16">
        <v>64.67</v>
      </c>
      <c r="G270" s="8" t="s">
        <v>40</v>
      </c>
      <c r="H270" s="8" t="s">
        <v>41</v>
      </c>
      <c r="I270" s="8">
        <v>1078.0</v>
      </c>
      <c r="J270" s="4" t="str">
        <f t="shared" si="1"/>
        <v>Poland</v>
      </c>
      <c r="K270" s="4" t="str">
        <f t="shared" si="2"/>
        <v>Warsaw</v>
      </c>
      <c r="L270" s="4" t="b">
        <v>0</v>
      </c>
    </row>
    <row r="271">
      <c r="A271" s="8">
        <v>273.0</v>
      </c>
      <c r="B271" s="8" t="s">
        <v>31</v>
      </c>
      <c r="C271" s="8" t="s">
        <v>45</v>
      </c>
      <c r="D271" s="8" t="s">
        <v>32</v>
      </c>
      <c r="E271" s="17">
        <v>45745.0</v>
      </c>
      <c r="F271" s="16">
        <v>74.35</v>
      </c>
      <c r="G271" s="8" t="s">
        <v>36</v>
      </c>
      <c r="H271" s="8" t="s">
        <v>41</v>
      </c>
      <c r="I271" s="8">
        <v>1040.0</v>
      </c>
      <c r="J271" s="4" t="str">
        <f t="shared" si="1"/>
        <v>Poland</v>
      </c>
      <c r="K271" s="4" t="str">
        <f t="shared" si="2"/>
        <v>Warsaw</v>
      </c>
      <c r="L271" s="4" t="b">
        <v>1</v>
      </c>
    </row>
    <row r="272">
      <c r="A272" s="8">
        <v>274.0</v>
      </c>
      <c r="B272" s="8" t="s">
        <v>26</v>
      </c>
      <c r="C272" s="8" t="s">
        <v>45</v>
      </c>
      <c r="D272" s="8" t="s">
        <v>28</v>
      </c>
      <c r="E272" s="17">
        <v>45759.0</v>
      </c>
      <c r="F272" s="16">
        <v>62.72</v>
      </c>
      <c r="G272" s="8" t="s">
        <v>29</v>
      </c>
      <c r="H272" s="8" t="s">
        <v>30</v>
      </c>
      <c r="I272" s="8">
        <v>1038.0</v>
      </c>
      <c r="J272" s="4" t="str">
        <f t="shared" si="1"/>
        <v>Poland</v>
      </c>
      <c r="K272" s="4" t="str">
        <f t="shared" si="2"/>
        <v>Warsaw</v>
      </c>
      <c r="L272" s="4" t="b">
        <v>0</v>
      </c>
    </row>
    <row r="273">
      <c r="A273" s="8">
        <v>275.0</v>
      </c>
      <c r="B273" s="8" t="s">
        <v>38</v>
      </c>
      <c r="C273" s="8" t="s">
        <v>27</v>
      </c>
      <c r="D273" s="8" t="s">
        <v>35</v>
      </c>
      <c r="E273" s="17">
        <v>45684.0</v>
      </c>
      <c r="F273" s="16">
        <v>90.3</v>
      </c>
      <c r="G273" s="8" t="s">
        <v>40</v>
      </c>
      <c r="H273" s="8" t="s">
        <v>41</v>
      </c>
      <c r="I273" s="8">
        <v>1049.0</v>
      </c>
      <c r="J273" s="4" t="str">
        <f t="shared" si="1"/>
        <v>Czech Republic</v>
      </c>
      <c r="K273" s="4" t="str">
        <f t="shared" si="2"/>
        <v>Prague</v>
      </c>
      <c r="L273" s="4" t="b">
        <v>0</v>
      </c>
    </row>
    <row r="274">
      <c r="A274" s="8">
        <v>276.0</v>
      </c>
      <c r="B274" s="8" t="s">
        <v>38</v>
      </c>
      <c r="C274" s="8" t="s">
        <v>45</v>
      </c>
      <c r="D274" s="8" t="s">
        <v>32</v>
      </c>
      <c r="E274" s="17">
        <v>45672.0</v>
      </c>
      <c r="F274" s="16">
        <v>17.54</v>
      </c>
      <c r="G274" s="8" t="s">
        <v>58</v>
      </c>
      <c r="H274" s="8" t="s">
        <v>41</v>
      </c>
      <c r="I274" s="8">
        <v>1069.0</v>
      </c>
      <c r="J274" s="4" t="str">
        <f t="shared" si="1"/>
        <v>Poland</v>
      </c>
      <c r="K274" s="4" t="str">
        <f t="shared" si="2"/>
        <v>Warsaw</v>
      </c>
      <c r="L274" s="4" t="b">
        <v>1</v>
      </c>
    </row>
    <row r="275">
      <c r="A275" s="8">
        <v>277.0</v>
      </c>
      <c r="B275" s="8" t="s">
        <v>44</v>
      </c>
      <c r="C275" s="23" t="s">
        <v>68</v>
      </c>
      <c r="D275" s="8" t="s">
        <v>32</v>
      </c>
      <c r="E275" s="17">
        <v>45745.0</v>
      </c>
      <c r="F275" s="16"/>
      <c r="G275" s="8" t="s">
        <v>40</v>
      </c>
      <c r="H275" s="8" t="s">
        <v>33</v>
      </c>
      <c r="I275" s="8">
        <v>1007.0</v>
      </c>
      <c r="J275" s="4" t="str">
        <f t="shared" si="1"/>
        <v>Poland</v>
      </c>
      <c r="K275" s="4" t="str">
        <f t="shared" si="2"/>
        <v>Warsaw</v>
      </c>
      <c r="L275" s="4" t="b">
        <v>1</v>
      </c>
    </row>
    <row r="276">
      <c r="A276" s="8">
        <v>278.0</v>
      </c>
      <c r="B276" s="8" t="s">
        <v>26</v>
      </c>
      <c r="C276" s="8" t="s">
        <v>42</v>
      </c>
      <c r="D276" s="8" t="s">
        <v>35</v>
      </c>
      <c r="E276" s="17">
        <v>45759.0</v>
      </c>
      <c r="F276" s="16">
        <v>55.97</v>
      </c>
      <c r="G276" s="8" t="s">
        <v>40</v>
      </c>
      <c r="H276" s="8" t="s">
        <v>41</v>
      </c>
      <c r="I276" s="8">
        <v>1010.0</v>
      </c>
      <c r="J276" s="4" t="str">
        <f t="shared" si="1"/>
        <v>Germany</v>
      </c>
      <c r="K276" s="4" t="str">
        <f t="shared" si="2"/>
        <v>Berlin</v>
      </c>
      <c r="L276" s="4" t="b">
        <v>1</v>
      </c>
    </row>
    <row r="277">
      <c r="A277" s="8">
        <v>279.0</v>
      </c>
      <c r="B277" s="8" t="s">
        <v>31</v>
      </c>
      <c r="C277" s="8" t="s">
        <v>27</v>
      </c>
      <c r="D277" s="8" t="s">
        <v>43</v>
      </c>
      <c r="E277" s="17">
        <v>45697.0</v>
      </c>
      <c r="F277" s="16">
        <v>84.28</v>
      </c>
      <c r="G277" s="8" t="s">
        <v>29</v>
      </c>
      <c r="H277" s="8" t="s">
        <v>41</v>
      </c>
      <c r="I277" s="8">
        <v>1089.0</v>
      </c>
      <c r="J277" s="4" t="str">
        <f t="shared" si="1"/>
        <v>Czech Republic</v>
      </c>
      <c r="K277" s="4" t="str">
        <f t="shared" si="2"/>
        <v>Prague</v>
      </c>
      <c r="L277" s="4" t="b">
        <v>0</v>
      </c>
    </row>
    <row r="278">
      <c r="A278" s="8">
        <v>280.0</v>
      </c>
      <c r="B278" s="8" t="s">
        <v>31</v>
      </c>
      <c r="C278" s="8" t="s">
        <v>45</v>
      </c>
      <c r="D278" s="8" t="s">
        <v>28</v>
      </c>
      <c r="E278" s="17">
        <v>45713.0</v>
      </c>
      <c r="F278" s="16">
        <v>48.07</v>
      </c>
      <c r="G278" s="8" t="s">
        <v>29</v>
      </c>
      <c r="H278" s="8" t="s">
        <v>41</v>
      </c>
      <c r="I278" s="8">
        <v>1085.0</v>
      </c>
      <c r="J278" s="4" t="str">
        <f t="shared" si="1"/>
        <v>Poland</v>
      </c>
      <c r="K278" s="4" t="str">
        <f t="shared" si="2"/>
        <v>Warsaw</v>
      </c>
      <c r="L278" s="4" t="b">
        <v>0</v>
      </c>
    </row>
    <row r="279">
      <c r="A279" s="8">
        <v>281.0</v>
      </c>
      <c r="B279" s="8" t="s">
        <v>31</v>
      </c>
      <c r="C279" s="8" t="s">
        <v>45</v>
      </c>
      <c r="D279" s="8" t="s">
        <v>32</v>
      </c>
      <c r="E279" s="17">
        <v>45752.0</v>
      </c>
      <c r="F279" s="16">
        <v>20.56</v>
      </c>
      <c r="G279" s="8" t="s">
        <v>36</v>
      </c>
      <c r="H279" s="8" t="s">
        <v>30</v>
      </c>
      <c r="I279" s="8">
        <v>1066.0</v>
      </c>
      <c r="J279" s="4" t="str">
        <f t="shared" si="1"/>
        <v>Poland</v>
      </c>
      <c r="K279" s="4" t="str">
        <f t="shared" si="2"/>
        <v>Warsaw</v>
      </c>
      <c r="L279" s="4" t="b">
        <v>1</v>
      </c>
    </row>
    <row r="280">
      <c r="A280" s="8">
        <v>282.0</v>
      </c>
      <c r="B280" s="8" t="s">
        <v>26</v>
      </c>
      <c r="C280" s="8" t="s">
        <v>27</v>
      </c>
      <c r="D280" s="8" t="s">
        <v>43</v>
      </c>
      <c r="E280" s="17">
        <v>45758.0</v>
      </c>
      <c r="F280" s="16">
        <v>30.53</v>
      </c>
      <c r="G280" s="8" t="s">
        <v>29</v>
      </c>
      <c r="H280" s="8" t="s">
        <v>33</v>
      </c>
      <c r="I280" s="8">
        <v>1042.0</v>
      </c>
      <c r="J280" s="4" t="str">
        <f t="shared" si="1"/>
        <v>Czech Republic</v>
      </c>
      <c r="K280" s="4" t="str">
        <f t="shared" si="2"/>
        <v>Prague</v>
      </c>
      <c r="L280" s="4" t="b">
        <v>0</v>
      </c>
    </row>
    <row r="281">
      <c r="A281" s="8">
        <v>283.0</v>
      </c>
      <c r="B281" s="8" t="s">
        <v>38</v>
      </c>
      <c r="C281" s="8" t="s">
        <v>45</v>
      </c>
      <c r="D281" s="8" t="s">
        <v>43</v>
      </c>
      <c r="E281" s="17">
        <v>45761.0</v>
      </c>
      <c r="F281" s="16">
        <v>12.32</v>
      </c>
      <c r="G281" s="8" t="s">
        <v>58</v>
      </c>
      <c r="H281" s="8" t="s">
        <v>30</v>
      </c>
      <c r="I281" s="8">
        <v>1046.0</v>
      </c>
      <c r="J281" s="4" t="str">
        <f t="shared" si="1"/>
        <v>Poland</v>
      </c>
      <c r="K281" s="4" t="str">
        <f t="shared" si="2"/>
        <v>Warsaw</v>
      </c>
      <c r="L281" s="4" t="b">
        <v>0</v>
      </c>
    </row>
    <row r="282">
      <c r="A282" s="8">
        <v>284.0</v>
      </c>
      <c r="B282" s="8" t="s">
        <v>38</v>
      </c>
      <c r="C282" s="8" t="s">
        <v>27</v>
      </c>
      <c r="D282" s="8" t="s">
        <v>43</v>
      </c>
      <c r="E282" s="17">
        <v>45665.0</v>
      </c>
      <c r="F282" s="16">
        <v>89.96</v>
      </c>
      <c r="G282" s="8" t="s">
        <v>29</v>
      </c>
      <c r="H282" s="8" t="s">
        <v>33</v>
      </c>
      <c r="I282" s="8">
        <v>1094.0</v>
      </c>
      <c r="J282" s="4" t="str">
        <f t="shared" si="1"/>
        <v>Czech Republic</v>
      </c>
      <c r="K282" s="4" t="str">
        <f t="shared" si="2"/>
        <v>Prague</v>
      </c>
      <c r="L282" s="4" t="b">
        <v>0</v>
      </c>
    </row>
    <row r="283">
      <c r="A283" s="8">
        <v>286.0</v>
      </c>
      <c r="B283" s="8" t="s">
        <v>31</v>
      </c>
      <c r="C283" s="8" t="s">
        <v>37</v>
      </c>
      <c r="D283" s="8" t="s">
        <v>28</v>
      </c>
      <c r="E283" s="17">
        <v>45752.0</v>
      </c>
      <c r="F283" s="16">
        <v>30.77</v>
      </c>
      <c r="G283" s="8" t="s">
        <v>29</v>
      </c>
      <c r="H283" s="8" t="s">
        <v>30</v>
      </c>
      <c r="I283" s="8">
        <v>1047.0</v>
      </c>
      <c r="J283" s="4" t="str">
        <f t="shared" si="1"/>
        <v>Ukraine</v>
      </c>
      <c r="K283" s="4" t="str">
        <f t="shared" si="2"/>
        <v>Kyiv</v>
      </c>
      <c r="L283" s="4" t="b">
        <v>0</v>
      </c>
    </row>
    <row r="284">
      <c r="A284" s="8">
        <v>287.0</v>
      </c>
      <c r="B284" s="8" t="s">
        <v>34</v>
      </c>
      <c r="C284" s="8" t="s">
        <v>27</v>
      </c>
      <c r="D284" s="8" t="s">
        <v>28</v>
      </c>
      <c r="E284" s="17">
        <v>45673.0</v>
      </c>
      <c r="F284" s="16">
        <v>95.64</v>
      </c>
      <c r="G284" s="8" t="s">
        <v>29</v>
      </c>
      <c r="H284" s="8" t="s">
        <v>41</v>
      </c>
      <c r="I284" s="8">
        <v>1036.0</v>
      </c>
      <c r="J284" s="4" t="str">
        <f t="shared" si="1"/>
        <v>Czech Republic</v>
      </c>
      <c r="K284" s="4" t="str">
        <f t="shared" si="2"/>
        <v>Prague</v>
      </c>
      <c r="L284" s="4" t="b">
        <v>1</v>
      </c>
    </row>
    <row r="285">
      <c r="A285" s="8">
        <v>288.0</v>
      </c>
      <c r="B285" s="8" t="s">
        <v>26</v>
      </c>
      <c r="C285" s="8" t="s">
        <v>45</v>
      </c>
      <c r="D285" s="8" t="s">
        <v>35</v>
      </c>
      <c r="E285" s="21">
        <v>45757.0</v>
      </c>
      <c r="F285" s="16">
        <v>58.56</v>
      </c>
      <c r="G285" s="8" t="s">
        <v>36</v>
      </c>
      <c r="H285" s="8" t="s">
        <v>30</v>
      </c>
      <c r="I285" s="8">
        <v>1079.0</v>
      </c>
      <c r="J285" s="4" t="str">
        <f t="shared" si="1"/>
        <v>Poland</v>
      </c>
      <c r="K285" s="4" t="str">
        <f t="shared" si="2"/>
        <v>Warsaw</v>
      </c>
      <c r="L285" s="4" t="b">
        <v>0</v>
      </c>
    </row>
    <row r="286">
      <c r="A286" s="8">
        <v>289.0</v>
      </c>
      <c r="B286" s="8" t="s">
        <v>38</v>
      </c>
      <c r="C286" s="8" t="s">
        <v>42</v>
      </c>
      <c r="D286" s="8" t="s">
        <v>28</v>
      </c>
      <c r="E286" s="17">
        <v>45689.0</v>
      </c>
      <c r="F286" s="16">
        <v>80.62</v>
      </c>
      <c r="G286" s="8" t="s">
        <v>40</v>
      </c>
      <c r="H286" s="8" t="s">
        <v>33</v>
      </c>
      <c r="I286" s="8">
        <v>1052.0</v>
      </c>
      <c r="J286" s="4" t="str">
        <f t="shared" si="1"/>
        <v>Germany</v>
      </c>
      <c r="K286" s="4" t="str">
        <f t="shared" si="2"/>
        <v>Berlin</v>
      </c>
      <c r="L286" s="4" t="b">
        <v>0</v>
      </c>
    </row>
    <row r="287">
      <c r="A287" s="8">
        <v>290.0</v>
      </c>
      <c r="B287" s="8" t="s">
        <v>26</v>
      </c>
      <c r="C287" s="8" t="s">
        <v>45</v>
      </c>
      <c r="D287" s="8" t="s">
        <v>43</v>
      </c>
      <c r="E287" s="21">
        <v>45661.0</v>
      </c>
      <c r="F287" s="16">
        <v>85.66</v>
      </c>
      <c r="G287" s="8" t="s">
        <v>36</v>
      </c>
      <c r="H287" s="8" t="s">
        <v>33</v>
      </c>
      <c r="I287" s="8">
        <v>1026.0</v>
      </c>
      <c r="J287" s="4" t="str">
        <f t="shared" si="1"/>
        <v>Poland</v>
      </c>
      <c r="K287" s="4" t="str">
        <f t="shared" si="2"/>
        <v>Warsaw</v>
      </c>
      <c r="L287" s="4" t="b">
        <v>0</v>
      </c>
    </row>
    <row r="288">
      <c r="A288" s="8">
        <v>291.0</v>
      </c>
      <c r="B288" s="8" t="s">
        <v>44</v>
      </c>
      <c r="C288" s="8" t="s">
        <v>42</v>
      </c>
      <c r="D288" s="8" t="s">
        <v>32</v>
      </c>
      <c r="E288" s="17">
        <v>45725.0</v>
      </c>
      <c r="F288" s="16">
        <v>31.58</v>
      </c>
      <c r="G288" s="8" t="s">
        <v>29</v>
      </c>
      <c r="H288" s="8" t="s">
        <v>33</v>
      </c>
      <c r="I288" s="8">
        <v>1066.0</v>
      </c>
      <c r="J288" s="4" t="str">
        <f t="shared" si="1"/>
        <v>Germany</v>
      </c>
      <c r="K288" s="4" t="str">
        <f t="shared" si="2"/>
        <v>Berlin</v>
      </c>
      <c r="L288" s="4" t="b">
        <v>0</v>
      </c>
    </row>
    <row r="289">
      <c r="A289" s="8">
        <v>292.0</v>
      </c>
      <c r="B289" s="8" t="s">
        <v>26</v>
      </c>
      <c r="C289" s="8" t="s">
        <v>42</v>
      </c>
      <c r="D289" s="8" t="s">
        <v>32</v>
      </c>
      <c r="E289" s="17">
        <v>45710.0</v>
      </c>
      <c r="F289" s="16">
        <v>65.54</v>
      </c>
      <c r="G289" s="8" t="s">
        <v>58</v>
      </c>
      <c r="H289" s="8" t="s">
        <v>33</v>
      </c>
      <c r="I289" s="8">
        <v>1075.0</v>
      </c>
      <c r="J289" s="4" t="str">
        <f t="shared" si="1"/>
        <v>Germany</v>
      </c>
      <c r="K289" s="4" t="str">
        <f t="shared" si="2"/>
        <v>Berlin</v>
      </c>
      <c r="L289" s="4" t="b">
        <v>0</v>
      </c>
    </row>
    <row r="290">
      <c r="A290" s="8">
        <v>293.0</v>
      </c>
      <c r="B290" s="8" t="s">
        <v>31</v>
      </c>
      <c r="C290" s="8" t="s">
        <v>27</v>
      </c>
      <c r="D290" s="8" t="s">
        <v>43</v>
      </c>
      <c r="E290" s="17">
        <v>45730.0</v>
      </c>
      <c r="F290" s="16">
        <v>81.08</v>
      </c>
      <c r="G290" s="8" t="s">
        <v>36</v>
      </c>
      <c r="H290" s="8" t="s">
        <v>41</v>
      </c>
      <c r="I290" s="8">
        <v>1057.0</v>
      </c>
      <c r="J290" s="4" t="str">
        <f t="shared" si="1"/>
        <v>Czech Republic</v>
      </c>
      <c r="K290" s="4" t="str">
        <f t="shared" si="2"/>
        <v>Prague</v>
      </c>
      <c r="L290" s="4" t="b">
        <v>0</v>
      </c>
    </row>
    <row r="291">
      <c r="A291" s="8">
        <v>294.0</v>
      </c>
      <c r="B291" s="8" t="s">
        <v>31</v>
      </c>
      <c r="C291" s="8" t="s">
        <v>27</v>
      </c>
      <c r="D291" s="8" t="s">
        <v>32</v>
      </c>
      <c r="E291" s="17">
        <v>45692.0</v>
      </c>
      <c r="F291" s="16">
        <v>49.28</v>
      </c>
      <c r="G291" s="8" t="s">
        <v>58</v>
      </c>
      <c r="H291" s="8" t="s">
        <v>33</v>
      </c>
      <c r="I291" s="8">
        <v>1068.0</v>
      </c>
      <c r="J291" s="4" t="str">
        <f t="shared" si="1"/>
        <v>Czech Republic</v>
      </c>
      <c r="K291" s="4" t="str">
        <f t="shared" si="2"/>
        <v>Prague</v>
      </c>
      <c r="L291" s="4" t="b">
        <v>0</v>
      </c>
    </row>
    <row r="292">
      <c r="A292" s="8">
        <v>295.0</v>
      </c>
      <c r="B292" s="8" t="s">
        <v>31</v>
      </c>
      <c r="C292" s="8" t="s">
        <v>42</v>
      </c>
      <c r="D292" s="8" t="s">
        <v>43</v>
      </c>
      <c r="E292" s="17">
        <v>45703.0</v>
      </c>
      <c r="F292" s="16">
        <v>13.59</v>
      </c>
      <c r="G292" s="8" t="s">
        <v>36</v>
      </c>
      <c r="H292" s="8" t="s">
        <v>30</v>
      </c>
      <c r="I292" s="8">
        <v>1089.0</v>
      </c>
      <c r="J292" s="4" t="str">
        <f t="shared" si="1"/>
        <v>Germany</v>
      </c>
      <c r="K292" s="4" t="str">
        <f t="shared" si="2"/>
        <v>Berlin</v>
      </c>
      <c r="L292" s="4" t="b">
        <v>0</v>
      </c>
    </row>
    <row r="293">
      <c r="A293" s="8">
        <v>296.0</v>
      </c>
      <c r="B293" s="8" t="s">
        <v>26</v>
      </c>
      <c r="C293" s="16" t="s">
        <v>56</v>
      </c>
      <c r="D293" s="8" t="s">
        <v>32</v>
      </c>
      <c r="E293" s="17">
        <v>45735.0</v>
      </c>
      <c r="F293" s="16">
        <v>42.64</v>
      </c>
      <c r="G293" s="8" t="s">
        <v>29</v>
      </c>
      <c r="H293" s="8" t="s">
        <v>30</v>
      </c>
      <c r="I293" s="8">
        <v>1038.0</v>
      </c>
      <c r="J293" s="4" t="str">
        <f t="shared" si="1"/>
        <v>Czech Republic</v>
      </c>
      <c r="K293" s="4" t="str">
        <f t="shared" si="2"/>
        <v>Prague</v>
      </c>
      <c r="L293" s="4" t="b">
        <v>0</v>
      </c>
    </row>
    <row r="294">
      <c r="A294" s="8">
        <v>297.0</v>
      </c>
      <c r="B294" s="8" t="s">
        <v>31</v>
      </c>
      <c r="C294" s="8" t="s">
        <v>45</v>
      </c>
      <c r="D294" s="8" t="s">
        <v>35</v>
      </c>
      <c r="E294" s="17">
        <v>45691.0</v>
      </c>
      <c r="F294" s="16">
        <v>57.26</v>
      </c>
      <c r="G294" s="8" t="s">
        <v>29</v>
      </c>
      <c r="H294" s="8" t="s">
        <v>41</v>
      </c>
      <c r="I294" s="8">
        <v>1013.0</v>
      </c>
      <c r="J294" s="4" t="str">
        <f t="shared" si="1"/>
        <v>Poland</v>
      </c>
      <c r="K294" s="4" t="str">
        <f t="shared" si="2"/>
        <v>Warsaw</v>
      </c>
      <c r="L294" s="4" t="b">
        <v>0</v>
      </c>
    </row>
    <row r="295">
      <c r="A295" s="8">
        <v>298.0</v>
      </c>
      <c r="B295" s="8" t="s">
        <v>34</v>
      </c>
      <c r="C295" s="8" t="s">
        <v>45</v>
      </c>
      <c r="D295" s="8" t="s">
        <v>32</v>
      </c>
      <c r="E295" s="17">
        <v>45760.0</v>
      </c>
      <c r="F295" s="16">
        <v>17.42</v>
      </c>
      <c r="G295" s="8" t="s">
        <v>58</v>
      </c>
      <c r="H295" s="8" t="s">
        <v>41</v>
      </c>
      <c r="I295" s="8">
        <v>1087.0</v>
      </c>
      <c r="J295" s="4" t="str">
        <f t="shared" si="1"/>
        <v>Poland</v>
      </c>
      <c r="K295" s="4" t="str">
        <f t="shared" si="2"/>
        <v>Warsaw</v>
      </c>
      <c r="L295" s="4" t="b">
        <v>1</v>
      </c>
    </row>
    <row r="296">
      <c r="A296" s="8">
        <v>299.0</v>
      </c>
      <c r="B296" s="8" t="s">
        <v>34</v>
      </c>
      <c r="C296" s="8" t="s">
        <v>37</v>
      </c>
      <c r="D296" s="8" t="s">
        <v>32</v>
      </c>
      <c r="E296" s="21">
        <v>45738.0</v>
      </c>
      <c r="F296" s="16">
        <v>90.74</v>
      </c>
      <c r="G296" s="8" t="s">
        <v>58</v>
      </c>
      <c r="H296" s="8" t="s">
        <v>33</v>
      </c>
      <c r="I296" s="8">
        <v>1011.0</v>
      </c>
      <c r="J296" s="4" t="str">
        <f t="shared" si="1"/>
        <v>Ukraine</v>
      </c>
      <c r="K296" s="4" t="str">
        <f t="shared" si="2"/>
        <v>Kyiv</v>
      </c>
      <c r="L296" s="4" t="b">
        <v>0</v>
      </c>
    </row>
    <row r="297">
      <c r="A297" s="8">
        <v>300.0</v>
      </c>
      <c r="B297" s="8" t="s">
        <v>26</v>
      </c>
      <c r="C297" s="8" t="s">
        <v>45</v>
      </c>
      <c r="D297" s="8" t="s">
        <v>32</v>
      </c>
      <c r="E297" s="17">
        <v>45773.0</v>
      </c>
      <c r="F297" s="16">
        <v>92.79</v>
      </c>
      <c r="G297" s="8" t="s">
        <v>58</v>
      </c>
      <c r="H297" s="8" t="s">
        <v>30</v>
      </c>
      <c r="I297" s="8">
        <v>1050.0</v>
      </c>
      <c r="J297" s="4" t="str">
        <f t="shared" si="1"/>
        <v>Poland</v>
      </c>
      <c r="K297" s="4" t="str">
        <f t="shared" si="2"/>
        <v>Warsaw</v>
      </c>
      <c r="L297" s="4" t="b">
        <v>1</v>
      </c>
    </row>
    <row r="298">
      <c r="A298" s="8">
        <v>301.0</v>
      </c>
      <c r="B298" s="8" t="s">
        <v>44</v>
      </c>
      <c r="C298" s="16" t="s">
        <v>56</v>
      </c>
      <c r="D298" s="8" t="s">
        <v>43</v>
      </c>
      <c r="E298" s="17">
        <v>45721.0</v>
      </c>
      <c r="F298" s="16">
        <v>31.59</v>
      </c>
      <c r="G298" s="8" t="s">
        <v>40</v>
      </c>
      <c r="H298" s="8" t="s">
        <v>33</v>
      </c>
      <c r="I298" s="8">
        <v>1078.0</v>
      </c>
      <c r="J298" s="4" t="str">
        <f t="shared" si="1"/>
        <v>Czech Republic</v>
      </c>
      <c r="K298" s="4" t="str">
        <f t="shared" si="2"/>
        <v>Prague</v>
      </c>
      <c r="L298" s="4" t="b">
        <v>0</v>
      </c>
    </row>
    <row r="299">
      <c r="A299" s="8">
        <v>302.0</v>
      </c>
      <c r="B299" s="8" t="s">
        <v>26</v>
      </c>
      <c r="C299" s="8" t="s">
        <v>42</v>
      </c>
      <c r="D299" s="8" t="s">
        <v>35</v>
      </c>
      <c r="E299" s="17">
        <v>45737.0</v>
      </c>
      <c r="F299" s="16">
        <v>13.33</v>
      </c>
      <c r="G299" s="8" t="s">
        <v>58</v>
      </c>
      <c r="H299" s="8" t="s">
        <v>33</v>
      </c>
      <c r="I299" s="8">
        <v>1053.0</v>
      </c>
      <c r="J299" s="4" t="str">
        <f t="shared" si="1"/>
        <v>Germany</v>
      </c>
      <c r="K299" s="4" t="str">
        <f t="shared" si="2"/>
        <v>Berlin</v>
      </c>
      <c r="L299" s="4" t="b">
        <v>1</v>
      </c>
    </row>
    <row r="300">
      <c r="A300" s="8">
        <v>303.0</v>
      </c>
      <c r="B300" s="8" t="s">
        <v>38</v>
      </c>
      <c r="C300" s="8" t="s">
        <v>27</v>
      </c>
      <c r="D300" s="8" t="s">
        <v>32</v>
      </c>
      <c r="E300" s="17">
        <v>45683.0</v>
      </c>
      <c r="F300" s="16">
        <v>39.12</v>
      </c>
      <c r="G300" s="8" t="s">
        <v>58</v>
      </c>
      <c r="H300" s="8" t="s">
        <v>41</v>
      </c>
      <c r="I300" s="8">
        <v>1072.0</v>
      </c>
      <c r="J300" s="4" t="str">
        <f t="shared" si="1"/>
        <v>Czech Republic</v>
      </c>
      <c r="K300" s="4" t="str">
        <f t="shared" si="2"/>
        <v>Prague</v>
      </c>
      <c r="L300" s="4" t="b">
        <v>0</v>
      </c>
    </row>
    <row r="301">
      <c r="A301" s="8">
        <v>304.0</v>
      </c>
      <c r="B301" s="8" t="s">
        <v>26</v>
      </c>
      <c r="C301" s="8" t="s">
        <v>27</v>
      </c>
      <c r="D301" s="8" t="s">
        <v>32</v>
      </c>
      <c r="E301" s="17">
        <v>45722.0</v>
      </c>
      <c r="F301" s="16">
        <v>90.1</v>
      </c>
      <c r="G301" s="8" t="s">
        <v>36</v>
      </c>
      <c r="H301" s="8" t="s">
        <v>33</v>
      </c>
      <c r="I301" s="8">
        <v>1060.0</v>
      </c>
      <c r="J301" s="4" t="str">
        <f t="shared" si="1"/>
        <v>Czech Republic</v>
      </c>
      <c r="K301" s="4" t="str">
        <f t="shared" si="2"/>
        <v>Prague</v>
      </c>
      <c r="L301" s="4" t="b">
        <v>0</v>
      </c>
    </row>
    <row r="302">
      <c r="A302" s="8">
        <v>305.0</v>
      </c>
      <c r="B302" s="8" t="s">
        <v>38</v>
      </c>
      <c r="C302" s="8" t="s">
        <v>27</v>
      </c>
      <c r="D302" s="8" t="s">
        <v>28</v>
      </c>
      <c r="E302" s="17">
        <v>45725.0</v>
      </c>
      <c r="F302" s="16">
        <v>30.32</v>
      </c>
      <c r="G302" s="8" t="s">
        <v>29</v>
      </c>
      <c r="H302" s="8" t="s">
        <v>33</v>
      </c>
      <c r="I302" s="8">
        <v>1073.0</v>
      </c>
      <c r="J302" s="4" t="str">
        <f t="shared" si="1"/>
        <v>Czech Republic</v>
      </c>
      <c r="K302" s="4" t="str">
        <f t="shared" si="2"/>
        <v>Prague</v>
      </c>
      <c r="L302" s="4" t="b">
        <v>1</v>
      </c>
    </row>
    <row r="303">
      <c r="A303" s="8">
        <v>306.0</v>
      </c>
      <c r="B303" s="8" t="s">
        <v>44</v>
      </c>
      <c r="C303" s="8" t="s">
        <v>37</v>
      </c>
      <c r="D303" s="8" t="s">
        <v>28</v>
      </c>
      <c r="E303" s="17">
        <v>45766.0</v>
      </c>
      <c r="F303" s="16">
        <v>81.59</v>
      </c>
      <c r="G303" s="8" t="s">
        <v>36</v>
      </c>
      <c r="H303" s="8" t="s">
        <v>30</v>
      </c>
      <c r="I303" s="8">
        <v>1003.0</v>
      </c>
      <c r="J303" s="4" t="str">
        <f t="shared" si="1"/>
        <v>Ukraine</v>
      </c>
      <c r="K303" s="4" t="str">
        <f t="shared" si="2"/>
        <v>Kyiv</v>
      </c>
      <c r="L303" s="4" t="b">
        <v>0</v>
      </c>
    </row>
    <row r="304">
      <c r="A304" s="8">
        <v>307.0</v>
      </c>
      <c r="B304" s="8" t="s">
        <v>38</v>
      </c>
      <c r="C304" s="8" t="s">
        <v>27</v>
      </c>
      <c r="D304" s="8" t="s">
        <v>28</v>
      </c>
      <c r="E304" s="17">
        <v>45748.0</v>
      </c>
      <c r="F304" s="16">
        <v>97.19</v>
      </c>
      <c r="G304" s="8" t="s">
        <v>36</v>
      </c>
      <c r="H304" s="8" t="s">
        <v>33</v>
      </c>
      <c r="I304" s="8">
        <v>1062.0</v>
      </c>
      <c r="J304" s="4" t="str">
        <f t="shared" si="1"/>
        <v>Czech Republic</v>
      </c>
      <c r="K304" s="4" t="str">
        <f t="shared" si="2"/>
        <v>Prague</v>
      </c>
      <c r="L304" s="4" t="b">
        <v>1</v>
      </c>
    </row>
    <row r="305">
      <c r="A305" s="8">
        <v>308.0</v>
      </c>
      <c r="B305" s="8" t="s">
        <v>31</v>
      </c>
      <c r="C305" s="8" t="s">
        <v>27</v>
      </c>
      <c r="D305" s="8" t="s">
        <v>32</v>
      </c>
      <c r="E305" s="17">
        <v>45662.0</v>
      </c>
      <c r="F305" s="16"/>
      <c r="G305" s="8" t="s">
        <v>40</v>
      </c>
      <c r="H305" s="8" t="s">
        <v>33</v>
      </c>
      <c r="I305" s="8">
        <v>1043.0</v>
      </c>
      <c r="J305" s="4" t="str">
        <f t="shared" si="1"/>
        <v>Czech Republic</v>
      </c>
      <c r="K305" s="4" t="str">
        <f t="shared" si="2"/>
        <v>Prague</v>
      </c>
      <c r="L305" s="4" t="b">
        <v>0</v>
      </c>
    </row>
    <row r="306">
      <c r="A306" s="8">
        <v>309.0</v>
      </c>
      <c r="B306" s="8" t="s">
        <v>26</v>
      </c>
      <c r="C306" s="8" t="s">
        <v>45</v>
      </c>
      <c r="D306" s="8" t="s">
        <v>32</v>
      </c>
      <c r="E306" s="17">
        <v>45749.0</v>
      </c>
      <c r="F306" s="16">
        <v>18.46</v>
      </c>
      <c r="G306" s="8" t="s">
        <v>29</v>
      </c>
      <c r="H306" s="8" t="s">
        <v>30</v>
      </c>
      <c r="I306" s="8">
        <v>1046.0</v>
      </c>
      <c r="J306" s="4" t="str">
        <f t="shared" si="1"/>
        <v>Poland</v>
      </c>
      <c r="K306" s="4" t="str">
        <f t="shared" si="2"/>
        <v>Warsaw</v>
      </c>
      <c r="L306" s="4" t="b">
        <v>1</v>
      </c>
    </row>
    <row r="307">
      <c r="A307" s="8">
        <v>310.0</v>
      </c>
      <c r="B307" s="8" t="s">
        <v>44</v>
      </c>
      <c r="C307" s="8" t="s">
        <v>45</v>
      </c>
      <c r="D307" s="8" t="s">
        <v>43</v>
      </c>
      <c r="E307" s="17">
        <v>45667.0</v>
      </c>
      <c r="F307" s="16">
        <v>19.96</v>
      </c>
      <c r="G307" s="8" t="s">
        <v>58</v>
      </c>
      <c r="H307" s="8" t="s">
        <v>30</v>
      </c>
      <c r="I307" s="8">
        <v>1062.0</v>
      </c>
      <c r="J307" s="4" t="str">
        <f t="shared" si="1"/>
        <v>Poland</v>
      </c>
      <c r="K307" s="4" t="str">
        <f t="shared" si="2"/>
        <v>Warsaw</v>
      </c>
      <c r="L307" s="4" t="b">
        <v>0</v>
      </c>
    </row>
    <row r="308">
      <c r="A308" s="8">
        <v>311.0</v>
      </c>
      <c r="B308" s="8" t="s">
        <v>38</v>
      </c>
      <c r="C308" s="8" t="s">
        <v>37</v>
      </c>
      <c r="D308" s="8" t="s">
        <v>28</v>
      </c>
      <c r="E308" s="17">
        <v>45741.0</v>
      </c>
      <c r="F308" s="16">
        <v>40.95</v>
      </c>
      <c r="G308" s="8" t="s">
        <v>36</v>
      </c>
      <c r="H308" s="8" t="s">
        <v>33</v>
      </c>
      <c r="I308" s="8">
        <v>1022.0</v>
      </c>
      <c r="J308" s="4" t="str">
        <f t="shared" si="1"/>
        <v>Ukraine</v>
      </c>
      <c r="K308" s="4" t="str">
        <f t="shared" si="2"/>
        <v>Kyiv</v>
      </c>
      <c r="L308" s="4" t="b">
        <v>0</v>
      </c>
    </row>
    <row r="309">
      <c r="A309" s="8">
        <v>313.0</v>
      </c>
      <c r="B309" s="8" t="s">
        <v>31</v>
      </c>
      <c r="C309" s="8" t="s">
        <v>37</v>
      </c>
      <c r="D309" s="8" t="s">
        <v>32</v>
      </c>
      <c r="E309" s="17">
        <v>45671.0</v>
      </c>
      <c r="F309" s="16">
        <v>20.95</v>
      </c>
      <c r="G309" s="8" t="s">
        <v>29</v>
      </c>
      <c r="H309" s="8" t="s">
        <v>30</v>
      </c>
      <c r="I309" s="8">
        <v>1085.0</v>
      </c>
      <c r="J309" s="4" t="str">
        <f t="shared" si="1"/>
        <v>Ukraine</v>
      </c>
      <c r="K309" s="4" t="str">
        <f t="shared" si="2"/>
        <v>Kyiv</v>
      </c>
      <c r="L309" s="4" t="b">
        <v>0</v>
      </c>
    </row>
    <row r="310">
      <c r="A310" s="8">
        <v>314.0</v>
      </c>
      <c r="B310" s="8" t="s">
        <v>26</v>
      </c>
      <c r="C310" s="8" t="s">
        <v>42</v>
      </c>
      <c r="D310" s="8" t="s">
        <v>32</v>
      </c>
      <c r="E310" s="17">
        <v>45739.0</v>
      </c>
      <c r="F310" s="16">
        <v>11.44</v>
      </c>
      <c r="G310" s="8" t="s">
        <v>36</v>
      </c>
      <c r="H310" s="8" t="s">
        <v>33</v>
      </c>
      <c r="I310" s="8">
        <v>1092.0</v>
      </c>
      <c r="J310" s="4" t="str">
        <f t="shared" si="1"/>
        <v>Germany</v>
      </c>
      <c r="K310" s="4" t="str">
        <f t="shared" si="2"/>
        <v>Berlin</v>
      </c>
      <c r="L310" s="4" t="b">
        <v>0</v>
      </c>
    </row>
    <row r="311">
      <c r="A311" s="8">
        <v>315.0</v>
      </c>
      <c r="B311" s="8" t="s">
        <v>44</v>
      </c>
      <c r="C311" s="8" t="s">
        <v>42</v>
      </c>
      <c r="D311" s="8" t="s">
        <v>28</v>
      </c>
      <c r="E311" s="17">
        <v>45658.0</v>
      </c>
      <c r="F311" s="16">
        <v>40.98</v>
      </c>
      <c r="G311" s="8" t="s">
        <v>58</v>
      </c>
      <c r="H311" s="8" t="s">
        <v>33</v>
      </c>
      <c r="I311" s="8">
        <v>1061.0</v>
      </c>
      <c r="J311" s="4" t="str">
        <f t="shared" si="1"/>
        <v>Germany</v>
      </c>
      <c r="K311" s="4" t="str">
        <f t="shared" si="2"/>
        <v>Berlin</v>
      </c>
      <c r="L311" s="4" t="b">
        <v>0</v>
      </c>
    </row>
    <row r="312">
      <c r="A312" s="8">
        <v>316.0</v>
      </c>
      <c r="B312" s="8" t="s">
        <v>31</v>
      </c>
      <c r="C312" s="8" t="s">
        <v>27</v>
      </c>
      <c r="D312" s="8" t="s">
        <v>35</v>
      </c>
      <c r="E312" s="17">
        <v>45758.0</v>
      </c>
      <c r="F312" s="16">
        <v>33.02</v>
      </c>
      <c r="G312" s="8" t="s">
        <v>36</v>
      </c>
      <c r="H312" s="8" t="s">
        <v>41</v>
      </c>
      <c r="I312" s="8">
        <v>1013.0</v>
      </c>
      <c r="J312" s="4" t="str">
        <f t="shared" si="1"/>
        <v>Czech Republic</v>
      </c>
      <c r="K312" s="4" t="str">
        <f t="shared" si="2"/>
        <v>Prague</v>
      </c>
      <c r="L312" s="4" t="b">
        <v>0</v>
      </c>
    </row>
    <row r="313">
      <c r="A313" s="8">
        <v>317.0</v>
      </c>
      <c r="B313" s="8" t="s">
        <v>44</v>
      </c>
      <c r="C313" s="8" t="s">
        <v>27</v>
      </c>
      <c r="D313" s="8" t="s">
        <v>32</v>
      </c>
      <c r="E313" s="17">
        <v>45667.0</v>
      </c>
      <c r="F313" s="16">
        <v>13.84</v>
      </c>
      <c r="G313" s="8" t="s">
        <v>58</v>
      </c>
      <c r="H313" s="8" t="s">
        <v>30</v>
      </c>
      <c r="I313" s="8">
        <v>1003.0</v>
      </c>
      <c r="J313" s="4" t="str">
        <f t="shared" si="1"/>
        <v>Czech Republic</v>
      </c>
      <c r="K313" s="4" t="str">
        <f t="shared" si="2"/>
        <v>Prague</v>
      </c>
      <c r="L313" s="4" t="b">
        <v>0</v>
      </c>
    </row>
    <row r="314">
      <c r="A314" s="8">
        <v>318.0</v>
      </c>
      <c r="B314" s="8" t="s">
        <v>31</v>
      </c>
      <c r="C314" s="8" t="s">
        <v>42</v>
      </c>
      <c r="D314" s="8" t="s">
        <v>28</v>
      </c>
      <c r="E314" s="17">
        <v>45713.0</v>
      </c>
      <c r="F314" s="16">
        <v>97.57</v>
      </c>
      <c r="G314" s="8" t="s">
        <v>58</v>
      </c>
      <c r="H314" s="8" t="s">
        <v>30</v>
      </c>
      <c r="I314" s="8">
        <v>1070.0</v>
      </c>
      <c r="J314" s="4" t="str">
        <f t="shared" si="1"/>
        <v>Germany</v>
      </c>
      <c r="K314" s="4" t="str">
        <f t="shared" si="2"/>
        <v>Berlin</v>
      </c>
      <c r="L314" s="4" t="b">
        <v>0</v>
      </c>
    </row>
    <row r="315">
      <c r="A315" s="8">
        <v>319.0</v>
      </c>
      <c r="B315" s="8" t="s">
        <v>38</v>
      </c>
      <c r="C315" s="8" t="s">
        <v>37</v>
      </c>
      <c r="D315" s="8" t="s">
        <v>43</v>
      </c>
      <c r="E315" s="17">
        <v>45750.0</v>
      </c>
      <c r="F315" s="16">
        <v>42.33</v>
      </c>
      <c r="G315" s="8" t="s">
        <v>58</v>
      </c>
      <c r="H315" s="8" t="s">
        <v>33</v>
      </c>
      <c r="I315" s="8">
        <v>1006.0</v>
      </c>
      <c r="J315" s="4" t="str">
        <f t="shared" si="1"/>
        <v>Ukraine</v>
      </c>
      <c r="K315" s="4" t="str">
        <f t="shared" si="2"/>
        <v>Kyiv</v>
      </c>
      <c r="L315" s="4" t="b">
        <v>1</v>
      </c>
    </row>
    <row r="316">
      <c r="A316" s="8">
        <v>321.0</v>
      </c>
      <c r="B316" s="8" t="s">
        <v>34</v>
      </c>
      <c r="C316" s="8" t="s">
        <v>37</v>
      </c>
      <c r="D316" s="8" t="s">
        <v>35</v>
      </c>
      <c r="E316" s="17">
        <v>45668.0</v>
      </c>
      <c r="F316" s="16">
        <v>30.18</v>
      </c>
      <c r="G316" s="8" t="s">
        <v>58</v>
      </c>
      <c r="H316" s="8" t="s">
        <v>33</v>
      </c>
      <c r="I316" s="8">
        <v>1047.0</v>
      </c>
      <c r="J316" s="4" t="str">
        <f t="shared" si="1"/>
        <v>Ukraine</v>
      </c>
      <c r="K316" s="4" t="str">
        <f t="shared" si="2"/>
        <v>Kyiv</v>
      </c>
      <c r="L316" s="4" t="b">
        <v>0</v>
      </c>
    </row>
    <row r="317">
      <c r="A317" s="8">
        <v>322.0</v>
      </c>
      <c r="B317" s="8" t="s">
        <v>31</v>
      </c>
      <c r="C317" s="8" t="s">
        <v>42</v>
      </c>
      <c r="D317" s="8" t="s">
        <v>32</v>
      </c>
      <c r="E317" s="17">
        <v>45771.0</v>
      </c>
      <c r="F317" s="16">
        <v>26.49</v>
      </c>
      <c r="G317" s="8" t="s">
        <v>36</v>
      </c>
      <c r="H317" s="8" t="s">
        <v>30</v>
      </c>
      <c r="I317" s="8">
        <v>1007.0</v>
      </c>
      <c r="J317" s="4" t="str">
        <f t="shared" si="1"/>
        <v>Germany</v>
      </c>
      <c r="K317" s="4" t="str">
        <f t="shared" si="2"/>
        <v>Berlin</v>
      </c>
      <c r="L317" s="4" t="b">
        <v>0</v>
      </c>
    </row>
    <row r="318">
      <c r="A318" s="8">
        <v>323.0</v>
      </c>
      <c r="B318" s="8" t="s">
        <v>34</v>
      </c>
      <c r="C318" s="8" t="s">
        <v>45</v>
      </c>
      <c r="D318" s="8" t="s">
        <v>43</v>
      </c>
      <c r="E318" s="17">
        <v>45677.0</v>
      </c>
      <c r="F318" s="16">
        <v>76.86</v>
      </c>
      <c r="G318" s="8" t="s">
        <v>40</v>
      </c>
      <c r="H318" s="8" t="s">
        <v>30</v>
      </c>
      <c r="I318" s="8">
        <v>1007.0</v>
      </c>
      <c r="J318" s="4" t="str">
        <f t="shared" si="1"/>
        <v>Poland</v>
      </c>
      <c r="K318" s="4" t="str">
        <f t="shared" si="2"/>
        <v>Warsaw</v>
      </c>
      <c r="L318" s="4" t="b">
        <v>0</v>
      </c>
    </row>
    <row r="319">
      <c r="A319" s="8">
        <v>324.0</v>
      </c>
      <c r="B319" s="8" t="s">
        <v>38</v>
      </c>
      <c r="C319" s="8" t="s">
        <v>42</v>
      </c>
      <c r="D319" s="8" t="s">
        <v>35</v>
      </c>
      <c r="E319" s="17">
        <v>45765.0</v>
      </c>
      <c r="F319" s="16">
        <v>33.39</v>
      </c>
      <c r="G319" s="8" t="s">
        <v>58</v>
      </c>
      <c r="H319" s="8" t="s">
        <v>30</v>
      </c>
      <c r="I319" s="8">
        <v>1004.0</v>
      </c>
      <c r="J319" s="4" t="str">
        <f t="shared" si="1"/>
        <v>Germany</v>
      </c>
      <c r="K319" s="4" t="str">
        <f t="shared" si="2"/>
        <v>Berlin</v>
      </c>
      <c r="L319" s="4" t="b">
        <v>1</v>
      </c>
    </row>
    <row r="320">
      <c r="A320" s="8">
        <v>325.0</v>
      </c>
      <c r="B320" s="8" t="s">
        <v>38</v>
      </c>
      <c r="C320" s="8" t="s">
        <v>27</v>
      </c>
      <c r="D320" s="8" t="s">
        <v>32</v>
      </c>
      <c r="E320" s="17">
        <v>45722.0</v>
      </c>
      <c r="F320" s="16">
        <v>95.16</v>
      </c>
      <c r="G320" s="8" t="s">
        <v>40</v>
      </c>
      <c r="H320" s="8" t="s">
        <v>33</v>
      </c>
      <c r="I320" s="8">
        <v>1024.0</v>
      </c>
      <c r="J320" s="4" t="str">
        <f t="shared" si="1"/>
        <v>Czech Republic</v>
      </c>
      <c r="K320" s="4" t="str">
        <f t="shared" si="2"/>
        <v>Prague</v>
      </c>
      <c r="L320" s="4" t="b">
        <v>0</v>
      </c>
    </row>
    <row r="321">
      <c r="A321" s="8">
        <v>326.0</v>
      </c>
      <c r="B321" s="8" t="s">
        <v>34</v>
      </c>
      <c r="C321" s="8" t="s">
        <v>42</v>
      </c>
      <c r="D321" s="8" t="s">
        <v>28</v>
      </c>
      <c r="E321" s="17">
        <v>45674.0</v>
      </c>
      <c r="F321" s="16">
        <v>84.24</v>
      </c>
      <c r="G321" s="8" t="s">
        <v>36</v>
      </c>
      <c r="H321" s="8" t="s">
        <v>41</v>
      </c>
      <c r="I321" s="8">
        <v>1093.0</v>
      </c>
      <c r="J321" s="4" t="str">
        <f t="shared" si="1"/>
        <v>Germany</v>
      </c>
      <c r="K321" s="4" t="str">
        <f t="shared" si="2"/>
        <v>Berlin</v>
      </c>
      <c r="L321" s="4" t="b">
        <v>0</v>
      </c>
    </row>
    <row r="322">
      <c r="A322" s="8">
        <v>327.0</v>
      </c>
      <c r="B322" s="8" t="s">
        <v>34</v>
      </c>
      <c r="C322" s="8" t="s">
        <v>42</v>
      </c>
      <c r="D322" s="8" t="s">
        <v>35</v>
      </c>
      <c r="E322" s="17">
        <v>45775.0</v>
      </c>
      <c r="F322" s="16">
        <v>54.37</v>
      </c>
      <c r="G322" s="8" t="s">
        <v>29</v>
      </c>
      <c r="H322" s="8" t="s">
        <v>30</v>
      </c>
      <c r="I322" s="8">
        <v>1079.0</v>
      </c>
      <c r="J322" s="4" t="str">
        <f t="shared" si="1"/>
        <v>Germany</v>
      </c>
      <c r="K322" s="4" t="str">
        <f t="shared" si="2"/>
        <v>Berlin</v>
      </c>
      <c r="L322" s="4" t="b">
        <v>1</v>
      </c>
    </row>
    <row r="323">
      <c r="A323" s="8">
        <v>328.0</v>
      </c>
      <c r="B323" s="8" t="s">
        <v>44</v>
      </c>
      <c r="C323" s="8" t="s">
        <v>45</v>
      </c>
      <c r="D323" s="8" t="s">
        <v>35</v>
      </c>
      <c r="E323" s="17">
        <v>45733.0</v>
      </c>
      <c r="F323" s="16">
        <v>60.35</v>
      </c>
      <c r="G323" s="8" t="s">
        <v>29</v>
      </c>
      <c r="H323" s="8" t="s">
        <v>33</v>
      </c>
      <c r="I323" s="8">
        <v>1072.0</v>
      </c>
      <c r="J323" s="4" t="str">
        <f t="shared" si="1"/>
        <v>Poland</v>
      </c>
      <c r="K323" s="4" t="str">
        <f t="shared" si="2"/>
        <v>Warsaw</v>
      </c>
      <c r="L323" s="4" t="b">
        <v>0</v>
      </c>
    </row>
    <row r="324">
      <c r="A324" s="8">
        <v>329.0</v>
      </c>
      <c r="B324" s="8" t="s">
        <v>26</v>
      </c>
      <c r="C324" s="8" t="s">
        <v>37</v>
      </c>
      <c r="D324" s="8" t="s">
        <v>35</v>
      </c>
      <c r="E324" s="17">
        <v>45757.0</v>
      </c>
      <c r="F324" s="16">
        <v>59.34</v>
      </c>
      <c r="G324" s="8" t="s">
        <v>58</v>
      </c>
      <c r="H324" s="8" t="s">
        <v>33</v>
      </c>
      <c r="I324" s="8">
        <v>1022.0</v>
      </c>
      <c r="J324" s="4" t="str">
        <f t="shared" si="1"/>
        <v>Ukraine</v>
      </c>
      <c r="K324" s="4" t="str">
        <f t="shared" si="2"/>
        <v>Kyiv</v>
      </c>
      <c r="L324" s="4" t="b">
        <v>0</v>
      </c>
    </row>
    <row r="325">
      <c r="A325" s="8">
        <v>330.0</v>
      </c>
      <c r="B325" s="8" t="s">
        <v>38</v>
      </c>
      <c r="C325" s="8" t="s">
        <v>42</v>
      </c>
      <c r="D325" s="8" t="s">
        <v>32</v>
      </c>
      <c r="E325" s="17">
        <v>45693.0</v>
      </c>
      <c r="F325" s="16">
        <v>70.6</v>
      </c>
      <c r="G325" s="8" t="s">
        <v>29</v>
      </c>
      <c r="H325" s="8" t="s">
        <v>30</v>
      </c>
      <c r="I325" s="8">
        <v>1060.0</v>
      </c>
      <c r="J325" s="4" t="str">
        <f t="shared" si="1"/>
        <v>Germany</v>
      </c>
      <c r="K325" s="4" t="str">
        <f t="shared" si="2"/>
        <v>Berlin</v>
      </c>
      <c r="L325" s="4" t="b">
        <v>0</v>
      </c>
    </row>
    <row r="326">
      <c r="A326" s="8">
        <v>331.0</v>
      </c>
      <c r="B326" s="8" t="s">
        <v>26</v>
      </c>
      <c r="C326" s="8" t="s">
        <v>45</v>
      </c>
      <c r="D326" s="8" t="s">
        <v>43</v>
      </c>
      <c r="E326" s="17">
        <v>45775.0</v>
      </c>
      <c r="F326" s="16">
        <v>31.63</v>
      </c>
      <c r="G326" s="8" t="s">
        <v>58</v>
      </c>
      <c r="H326" s="8" t="s">
        <v>30</v>
      </c>
      <c r="I326" s="8">
        <v>1087.0</v>
      </c>
      <c r="J326" s="4" t="str">
        <f t="shared" si="1"/>
        <v>Poland</v>
      </c>
      <c r="K326" s="4" t="str">
        <f t="shared" si="2"/>
        <v>Warsaw</v>
      </c>
      <c r="L326" s="4" t="b">
        <v>0</v>
      </c>
    </row>
    <row r="327">
      <c r="A327" s="8">
        <v>332.0</v>
      </c>
      <c r="B327" s="8" t="s">
        <v>31</v>
      </c>
      <c r="C327" s="8" t="s">
        <v>27</v>
      </c>
      <c r="D327" s="8" t="s">
        <v>43</v>
      </c>
      <c r="E327" s="17">
        <v>45670.0</v>
      </c>
      <c r="F327" s="16">
        <v>83.45</v>
      </c>
      <c r="G327" s="8" t="s">
        <v>36</v>
      </c>
      <c r="H327" s="8" t="s">
        <v>30</v>
      </c>
      <c r="I327" s="8">
        <v>1053.0</v>
      </c>
      <c r="J327" s="4" t="str">
        <f t="shared" si="1"/>
        <v>Czech Republic</v>
      </c>
      <c r="K327" s="4" t="str">
        <f t="shared" si="2"/>
        <v>Prague</v>
      </c>
      <c r="L327" s="4" t="b">
        <v>0</v>
      </c>
    </row>
    <row r="328">
      <c r="A328" s="8">
        <v>333.0</v>
      </c>
      <c r="B328" s="8" t="s">
        <v>31</v>
      </c>
      <c r="C328" s="8" t="s">
        <v>42</v>
      </c>
      <c r="D328" s="8" t="s">
        <v>28</v>
      </c>
      <c r="E328" s="17">
        <v>45735.0</v>
      </c>
      <c r="F328" s="16">
        <v>51.02</v>
      </c>
      <c r="G328" s="8" t="s">
        <v>36</v>
      </c>
      <c r="H328" s="8" t="s">
        <v>33</v>
      </c>
      <c r="I328" s="8">
        <v>1065.0</v>
      </c>
      <c r="J328" s="4" t="str">
        <f t="shared" si="1"/>
        <v>Germany</v>
      </c>
      <c r="K328" s="4" t="str">
        <f t="shared" si="2"/>
        <v>Berlin</v>
      </c>
      <c r="L328" s="4" t="b">
        <v>0</v>
      </c>
    </row>
    <row r="329">
      <c r="A329" s="8">
        <v>334.0</v>
      </c>
      <c r="B329" s="8" t="s">
        <v>26</v>
      </c>
      <c r="C329" s="8" t="s">
        <v>42</v>
      </c>
      <c r="D329" s="8" t="s">
        <v>28</v>
      </c>
      <c r="E329" s="17">
        <v>45759.0</v>
      </c>
      <c r="F329" s="16">
        <v>59.02</v>
      </c>
      <c r="G329" s="8" t="s">
        <v>40</v>
      </c>
      <c r="H329" s="8" t="s">
        <v>33</v>
      </c>
      <c r="I329" s="8">
        <v>1025.0</v>
      </c>
      <c r="J329" s="4" t="str">
        <f t="shared" si="1"/>
        <v>Germany</v>
      </c>
      <c r="K329" s="4" t="str">
        <f t="shared" si="2"/>
        <v>Berlin</v>
      </c>
      <c r="L329" s="4" t="b">
        <v>0</v>
      </c>
    </row>
    <row r="330">
      <c r="A330" s="8">
        <v>335.0</v>
      </c>
      <c r="B330" s="8" t="s">
        <v>34</v>
      </c>
      <c r="C330" s="8" t="s">
        <v>42</v>
      </c>
      <c r="D330" s="8" t="s">
        <v>32</v>
      </c>
      <c r="E330" s="17">
        <v>45765.0</v>
      </c>
      <c r="F330" s="16">
        <v>31.03</v>
      </c>
      <c r="G330" s="8" t="s">
        <v>58</v>
      </c>
      <c r="H330" s="8" t="s">
        <v>30</v>
      </c>
      <c r="I330" s="8">
        <v>1050.0</v>
      </c>
      <c r="J330" s="4" t="str">
        <f t="shared" si="1"/>
        <v>Germany</v>
      </c>
      <c r="K330" s="4" t="str">
        <f t="shared" si="2"/>
        <v>Berlin</v>
      </c>
      <c r="L330" s="4" t="b">
        <v>0</v>
      </c>
    </row>
    <row r="331">
      <c r="A331" s="8">
        <v>336.0</v>
      </c>
      <c r="B331" s="8" t="s">
        <v>34</v>
      </c>
      <c r="C331" s="8" t="s">
        <v>27</v>
      </c>
      <c r="D331" s="8" t="s">
        <v>43</v>
      </c>
      <c r="E331" s="17">
        <v>45739.0</v>
      </c>
      <c r="F331" s="16">
        <v>96.25</v>
      </c>
      <c r="G331" s="8" t="s">
        <v>58</v>
      </c>
      <c r="H331" s="8" t="s">
        <v>30</v>
      </c>
      <c r="I331" s="8">
        <v>1070.0</v>
      </c>
      <c r="J331" s="4" t="str">
        <f t="shared" si="1"/>
        <v>Czech Republic</v>
      </c>
      <c r="K331" s="4" t="str">
        <f t="shared" si="2"/>
        <v>Prague</v>
      </c>
      <c r="L331" s="4" t="b">
        <v>0</v>
      </c>
    </row>
    <row r="332">
      <c r="A332" s="8">
        <v>337.0</v>
      </c>
      <c r="B332" s="8" t="s">
        <v>26</v>
      </c>
      <c r="C332" s="8" t="s">
        <v>45</v>
      </c>
      <c r="D332" s="8" t="s">
        <v>43</v>
      </c>
      <c r="E332" s="21">
        <v>45702.0</v>
      </c>
      <c r="F332" s="16"/>
      <c r="G332" s="8" t="s">
        <v>40</v>
      </c>
      <c r="H332" s="8" t="s">
        <v>33</v>
      </c>
      <c r="I332" s="8">
        <v>1082.0</v>
      </c>
      <c r="J332" s="4" t="str">
        <f t="shared" si="1"/>
        <v>Poland</v>
      </c>
      <c r="K332" s="4" t="str">
        <f t="shared" si="2"/>
        <v>Warsaw</v>
      </c>
      <c r="L332" s="4" t="b">
        <v>0</v>
      </c>
    </row>
    <row r="333">
      <c r="A333" s="8">
        <v>338.0</v>
      </c>
      <c r="B333" s="8" t="s">
        <v>26</v>
      </c>
      <c r="C333" s="8" t="s">
        <v>42</v>
      </c>
      <c r="D333" s="8" t="s">
        <v>32</v>
      </c>
      <c r="E333" s="17">
        <v>45686.0</v>
      </c>
      <c r="F333" s="16">
        <v>69.81</v>
      </c>
      <c r="G333" s="8" t="s">
        <v>58</v>
      </c>
      <c r="H333" s="8" t="s">
        <v>33</v>
      </c>
      <c r="I333" s="8">
        <v>1082.0</v>
      </c>
      <c r="J333" s="4" t="str">
        <f t="shared" si="1"/>
        <v>Germany</v>
      </c>
      <c r="K333" s="4" t="str">
        <f t="shared" si="2"/>
        <v>Berlin</v>
      </c>
      <c r="L333" s="4" t="b">
        <v>0</v>
      </c>
    </row>
    <row r="334">
      <c r="A334" s="8">
        <v>339.0</v>
      </c>
      <c r="B334" s="8" t="s">
        <v>34</v>
      </c>
      <c r="C334" s="8" t="s">
        <v>27</v>
      </c>
      <c r="D334" s="8" t="s">
        <v>43</v>
      </c>
      <c r="E334" s="17">
        <v>45680.0</v>
      </c>
      <c r="F334" s="16">
        <v>72.71</v>
      </c>
      <c r="G334" s="8" t="s">
        <v>36</v>
      </c>
      <c r="H334" s="8" t="s">
        <v>41</v>
      </c>
      <c r="I334" s="8">
        <v>1048.0</v>
      </c>
      <c r="J334" s="4" t="str">
        <f t="shared" si="1"/>
        <v>Czech Republic</v>
      </c>
      <c r="K334" s="4" t="str">
        <f t="shared" si="2"/>
        <v>Prague</v>
      </c>
      <c r="L334" s="4" t="b">
        <v>0</v>
      </c>
    </row>
    <row r="335">
      <c r="A335" s="8">
        <v>340.0</v>
      </c>
      <c r="B335" s="8" t="s">
        <v>26</v>
      </c>
      <c r="C335" s="8" t="s">
        <v>27</v>
      </c>
      <c r="D335" s="8" t="s">
        <v>35</v>
      </c>
      <c r="E335" s="17">
        <v>45767.0</v>
      </c>
      <c r="F335" s="16">
        <v>64.24</v>
      </c>
      <c r="G335" s="8" t="s">
        <v>29</v>
      </c>
      <c r="H335" s="8" t="s">
        <v>33</v>
      </c>
      <c r="I335" s="8">
        <v>1065.0</v>
      </c>
      <c r="J335" s="4" t="str">
        <f t="shared" si="1"/>
        <v>Czech Republic</v>
      </c>
      <c r="K335" s="4" t="str">
        <f t="shared" si="2"/>
        <v>Prague</v>
      </c>
      <c r="L335" s="4" t="b">
        <v>0</v>
      </c>
    </row>
    <row r="336">
      <c r="A336" s="8">
        <v>341.0</v>
      </c>
      <c r="B336" s="8" t="s">
        <v>26</v>
      </c>
      <c r="C336" s="8" t="s">
        <v>37</v>
      </c>
      <c r="D336" s="8" t="s">
        <v>43</v>
      </c>
      <c r="E336" s="17">
        <v>45742.0</v>
      </c>
      <c r="F336" s="16">
        <v>36.95</v>
      </c>
      <c r="G336" s="8" t="s">
        <v>36</v>
      </c>
      <c r="H336" s="8" t="s">
        <v>30</v>
      </c>
      <c r="I336" s="8">
        <v>1041.0</v>
      </c>
      <c r="J336" s="4" t="str">
        <f t="shared" si="1"/>
        <v>Ukraine</v>
      </c>
      <c r="K336" s="4" t="str">
        <f t="shared" si="2"/>
        <v>Kyiv</v>
      </c>
      <c r="L336" s="4" t="b">
        <v>1</v>
      </c>
    </row>
    <row r="337">
      <c r="A337" s="8">
        <v>342.0</v>
      </c>
      <c r="B337" s="8" t="s">
        <v>26</v>
      </c>
      <c r="C337" s="8" t="s">
        <v>27</v>
      </c>
      <c r="D337" s="8" t="s">
        <v>28</v>
      </c>
      <c r="E337" s="17">
        <v>45768.0</v>
      </c>
      <c r="F337" s="16">
        <v>10.39</v>
      </c>
      <c r="G337" s="8" t="s">
        <v>58</v>
      </c>
      <c r="H337" s="8" t="s">
        <v>30</v>
      </c>
      <c r="I337" s="8">
        <v>1040.0</v>
      </c>
      <c r="J337" s="4" t="str">
        <f t="shared" si="1"/>
        <v>Czech Republic</v>
      </c>
      <c r="K337" s="4" t="str">
        <f t="shared" si="2"/>
        <v>Prague</v>
      </c>
      <c r="L337" s="4" t="b">
        <v>1</v>
      </c>
    </row>
    <row r="338">
      <c r="A338" s="8">
        <v>343.0</v>
      </c>
      <c r="B338" s="8" t="s">
        <v>34</v>
      </c>
      <c r="C338" s="8" t="s">
        <v>42</v>
      </c>
      <c r="D338" s="8" t="s">
        <v>43</v>
      </c>
      <c r="E338" s="17">
        <v>45745.0</v>
      </c>
      <c r="F338" s="16">
        <v>41.89</v>
      </c>
      <c r="G338" s="8" t="s">
        <v>29</v>
      </c>
      <c r="H338" s="8" t="s">
        <v>30</v>
      </c>
      <c r="I338" s="8">
        <v>1090.0</v>
      </c>
      <c r="J338" s="4" t="str">
        <f t="shared" si="1"/>
        <v>Germany</v>
      </c>
      <c r="K338" s="4" t="str">
        <f t="shared" si="2"/>
        <v>Berlin</v>
      </c>
      <c r="L338" s="4" t="b">
        <v>0</v>
      </c>
    </row>
    <row r="339">
      <c r="A339" s="8">
        <v>344.0</v>
      </c>
      <c r="B339" s="8" t="s">
        <v>26</v>
      </c>
      <c r="C339" s="8" t="s">
        <v>27</v>
      </c>
      <c r="D339" s="8" t="s">
        <v>35</v>
      </c>
      <c r="E339" s="17">
        <v>45731.0</v>
      </c>
      <c r="F339" s="16">
        <v>53.19</v>
      </c>
      <c r="G339" s="8" t="s">
        <v>40</v>
      </c>
      <c r="H339" s="8" t="s">
        <v>30</v>
      </c>
      <c r="I339" s="8">
        <v>1071.0</v>
      </c>
      <c r="J339" s="4" t="str">
        <f t="shared" si="1"/>
        <v>Czech Republic</v>
      </c>
      <c r="K339" s="4" t="str">
        <f t="shared" si="2"/>
        <v>Prague</v>
      </c>
      <c r="L339" s="4" t="b">
        <v>0</v>
      </c>
    </row>
    <row r="340">
      <c r="A340" s="8">
        <v>345.0</v>
      </c>
      <c r="B340" s="8" t="s">
        <v>44</v>
      </c>
      <c r="C340" s="8" t="s">
        <v>27</v>
      </c>
      <c r="D340" s="8" t="s">
        <v>43</v>
      </c>
      <c r="E340" s="17">
        <v>45681.0</v>
      </c>
      <c r="F340" s="16">
        <v>91.7</v>
      </c>
      <c r="G340" s="8" t="s">
        <v>36</v>
      </c>
      <c r="H340" s="8" t="s">
        <v>30</v>
      </c>
      <c r="I340" s="8">
        <v>1011.0</v>
      </c>
      <c r="J340" s="4" t="str">
        <f t="shared" si="1"/>
        <v>Czech Republic</v>
      </c>
      <c r="K340" s="4" t="str">
        <f t="shared" si="2"/>
        <v>Prague</v>
      </c>
      <c r="L340" s="4" t="b">
        <v>0</v>
      </c>
    </row>
    <row r="341">
      <c r="A341" s="8">
        <v>346.0</v>
      </c>
      <c r="B341" s="8" t="s">
        <v>26</v>
      </c>
      <c r="C341" s="8" t="s">
        <v>42</v>
      </c>
      <c r="D341" s="8" t="s">
        <v>43</v>
      </c>
      <c r="E341" s="17">
        <v>45686.0</v>
      </c>
      <c r="F341" s="16">
        <v>49.06</v>
      </c>
      <c r="G341" s="8" t="s">
        <v>29</v>
      </c>
      <c r="H341" s="8" t="s">
        <v>41</v>
      </c>
      <c r="I341" s="8">
        <v>1006.0</v>
      </c>
      <c r="J341" s="4" t="str">
        <f t="shared" si="1"/>
        <v>Germany</v>
      </c>
      <c r="K341" s="4" t="str">
        <f t="shared" si="2"/>
        <v>Berlin</v>
      </c>
      <c r="L341" s="4" t="b">
        <v>0</v>
      </c>
    </row>
    <row r="342">
      <c r="A342" s="8">
        <v>347.0</v>
      </c>
      <c r="B342" s="8" t="s">
        <v>38</v>
      </c>
      <c r="C342" s="8" t="s">
        <v>45</v>
      </c>
      <c r="D342" s="8" t="s">
        <v>35</v>
      </c>
      <c r="E342" s="17">
        <v>45768.0</v>
      </c>
      <c r="F342" s="16">
        <v>87.41</v>
      </c>
      <c r="G342" s="8" t="s">
        <v>58</v>
      </c>
      <c r="H342" s="8" t="s">
        <v>30</v>
      </c>
      <c r="I342" s="8">
        <v>1038.0</v>
      </c>
      <c r="J342" s="4" t="str">
        <f t="shared" si="1"/>
        <v>Poland</v>
      </c>
      <c r="K342" s="4" t="str">
        <f t="shared" si="2"/>
        <v>Warsaw</v>
      </c>
      <c r="L342" s="4" t="b">
        <v>0</v>
      </c>
    </row>
    <row r="343">
      <c r="A343" s="8">
        <v>348.0</v>
      </c>
      <c r="B343" s="8" t="s">
        <v>31</v>
      </c>
      <c r="C343" s="8" t="s">
        <v>27</v>
      </c>
      <c r="D343" s="8" t="s">
        <v>28</v>
      </c>
      <c r="E343" s="17">
        <v>45710.0</v>
      </c>
      <c r="F343" s="16">
        <v>89.82</v>
      </c>
      <c r="G343" s="8" t="s">
        <v>58</v>
      </c>
      <c r="H343" s="8" t="s">
        <v>33</v>
      </c>
      <c r="I343" s="8">
        <v>1040.0</v>
      </c>
      <c r="J343" s="4" t="str">
        <f t="shared" si="1"/>
        <v>Czech Republic</v>
      </c>
      <c r="K343" s="4" t="str">
        <f t="shared" si="2"/>
        <v>Prague</v>
      </c>
      <c r="L343" s="4" t="b">
        <v>1</v>
      </c>
    </row>
    <row r="344">
      <c r="A344" s="8">
        <v>349.0</v>
      </c>
      <c r="B344" s="8" t="s">
        <v>34</v>
      </c>
      <c r="C344" s="8" t="s">
        <v>42</v>
      </c>
      <c r="D344" s="8" t="s">
        <v>43</v>
      </c>
      <c r="E344" s="17">
        <v>45768.0</v>
      </c>
      <c r="F344" s="16">
        <v>65.28</v>
      </c>
      <c r="G344" s="8" t="s">
        <v>29</v>
      </c>
      <c r="H344" s="8" t="s">
        <v>41</v>
      </c>
      <c r="I344" s="8">
        <v>1035.0</v>
      </c>
      <c r="J344" s="4" t="str">
        <f t="shared" si="1"/>
        <v>Germany</v>
      </c>
      <c r="K344" s="4" t="str">
        <f t="shared" si="2"/>
        <v>Berlin</v>
      </c>
      <c r="L344" s="4" t="b">
        <v>0</v>
      </c>
    </row>
    <row r="345">
      <c r="A345" s="8">
        <v>350.0</v>
      </c>
      <c r="B345" s="8" t="s">
        <v>31</v>
      </c>
      <c r="C345" s="8" t="s">
        <v>27</v>
      </c>
      <c r="D345" s="8" t="s">
        <v>35</v>
      </c>
      <c r="E345" s="17">
        <v>45684.0</v>
      </c>
      <c r="F345" s="16">
        <v>17.29</v>
      </c>
      <c r="G345" s="8" t="s">
        <v>58</v>
      </c>
      <c r="H345" s="8" t="s">
        <v>30</v>
      </c>
      <c r="I345" s="8">
        <v>1054.0</v>
      </c>
      <c r="J345" s="4" t="str">
        <f t="shared" si="1"/>
        <v>Czech Republic</v>
      </c>
      <c r="K345" s="4" t="str">
        <f t="shared" si="2"/>
        <v>Prague</v>
      </c>
      <c r="L345" s="4" t="b">
        <v>0</v>
      </c>
    </row>
    <row r="346">
      <c r="A346" s="8">
        <v>351.0</v>
      </c>
      <c r="B346" s="8" t="s">
        <v>44</v>
      </c>
      <c r="C346" s="8" t="s">
        <v>42</v>
      </c>
      <c r="D346" s="8" t="s">
        <v>32</v>
      </c>
      <c r="E346" s="17">
        <v>45709.0</v>
      </c>
      <c r="F346" s="16">
        <v>40.44</v>
      </c>
      <c r="G346" s="8" t="s">
        <v>29</v>
      </c>
      <c r="H346" s="8" t="s">
        <v>41</v>
      </c>
      <c r="I346" s="8">
        <v>1096.0</v>
      </c>
      <c r="J346" s="4" t="str">
        <f t="shared" si="1"/>
        <v>Germany</v>
      </c>
      <c r="K346" s="4" t="str">
        <f t="shared" si="2"/>
        <v>Berlin</v>
      </c>
      <c r="L346" s="4" t="b">
        <v>0</v>
      </c>
    </row>
    <row r="347">
      <c r="A347" s="8">
        <v>352.0</v>
      </c>
      <c r="B347" s="8" t="s">
        <v>34</v>
      </c>
      <c r="C347" s="8" t="s">
        <v>45</v>
      </c>
      <c r="D347" s="8" t="s">
        <v>28</v>
      </c>
      <c r="E347" s="17">
        <v>45764.0</v>
      </c>
      <c r="F347" s="16">
        <v>34.65</v>
      </c>
      <c r="G347" s="8" t="s">
        <v>29</v>
      </c>
      <c r="H347" s="8" t="s">
        <v>41</v>
      </c>
      <c r="I347" s="8">
        <v>1064.0</v>
      </c>
      <c r="J347" s="4" t="str">
        <f t="shared" si="1"/>
        <v>Poland</v>
      </c>
      <c r="K347" s="4" t="str">
        <f t="shared" si="2"/>
        <v>Warsaw</v>
      </c>
      <c r="L347" s="4" t="b">
        <v>0</v>
      </c>
    </row>
    <row r="348">
      <c r="A348" s="8">
        <v>353.0</v>
      </c>
      <c r="B348" s="8" t="s">
        <v>34</v>
      </c>
      <c r="C348" s="8" t="s">
        <v>45</v>
      </c>
      <c r="D348" s="8" t="s">
        <v>43</v>
      </c>
      <c r="E348" s="17">
        <v>45733.0</v>
      </c>
      <c r="F348" s="16">
        <v>54.43</v>
      </c>
      <c r="G348" s="8" t="s">
        <v>36</v>
      </c>
      <c r="H348" s="8" t="s">
        <v>41</v>
      </c>
      <c r="I348" s="8">
        <v>1087.0</v>
      </c>
      <c r="J348" s="4" t="str">
        <f t="shared" si="1"/>
        <v>Poland</v>
      </c>
      <c r="K348" s="4" t="str">
        <f t="shared" si="2"/>
        <v>Warsaw</v>
      </c>
      <c r="L348" s="4" t="b">
        <v>0</v>
      </c>
    </row>
    <row r="349">
      <c r="A349" s="8">
        <v>354.0</v>
      </c>
      <c r="B349" s="8" t="s">
        <v>44</v>
      </c>
      <c r="C349" s="8" t="s">
        <v>37</v>
      </c>
      <c r="D349" s="8" t="s">
        <v>28</v>
      </c>
      <c r="E349" s="17">
        <v>45675.0</v>
      </c>
      <c r="F349" s="16">
        <v>82.14</v>
      </c>
      <c r="G349" s="8" t="s">
        <v>29</v>
      </c>
      <c r="H349" s="8" t="s">
        <v>33</v>
      </c>
      <c r="I349" s="8">
        <v>1028.0</v>
      </c>
      <c r="J349" s="4" t="str">
        <f t="shared" si="1"/>
        <v>Ukraine</v>
      </c>
      <c r="K349" s="4" t="str">
        <f t="shared" si="2"/>
        <v>Kyiv</v>
      </c>
      <c r="L349" s="4" t="b">
        <v>0</v>
      </c>
    </row>
    <row r="350">
      <c r="A350" s="8">
        <v>355.0</v>
      </c>
      <c r="B350" s="8" t="s">
        <v>31</v>
      </c>
      <c r="C350" s="8" t="s">
        <v>45</v>
      </c>
      <c r="D350" s="8" t="s">
        <v>28</v>
      </c>
      <c r="E350" s="17">
        <v>45751.0</v>
      </c>
      <c r="F350" s="16">
        <v>80.25</v>
      </c>
      <c r="G350" s="8" t="s">
        <v>58</v>
      </c>
      <c r="H350" s="8" t="s">
        <v>30</v>
      </c>
      <c r="I350" s="8">
        <v>1032.0</v>
      </c>
      <c r="J350" s="4" t="str">
        <f t="shared" si="1"/>
        <v>Poland</v>
      </c>
      <c r="K350" s="4" t="str">
        <f t="shared" si="2"/>
        <v>Warsaw</v>
      </c>
      <c r="L350" s="4" t="b">
        <v>0</v>
      </c>
    </row>
    <row r="351">
      <c r="A351" s="8">
        <v>356.0</v>
      </c>
      <c r="B351" s="8" t="s">
        <v>34</v>
      </c>
      <c r="C351" s="8" t="s">
        <v>45</v>
      </c>
      <c r="D351" s="8" t="s">
        <v>32</v>
      </c>
      <c r="E351" s="17">
        <v>45756.0</v>
      </c>
      <c r="F351" s="16"/>
      <c r="G351" s="8" t="s">
        <v>29</v>
      </c>
      <c r="H351" s="8" t="s">
        <v>41</v>
      </c>
      <c r="I351" s="8">
        <v>1056.0</v>
      </c>
      <c r="J351" s="4" t="str">
        <f t="shared" si="1"/>
        <v>Poland</v>
      </c>
      <c r="K351" s="4" t="str">
        <f t="shared" si="2"/>
        <v>Warsaw</v>
      </c>
      <c r="L351" s="4" t="b">
        <v>1</v>
      </c>
    </row>
    <row r="352">
      <c r="A352" s="8">
        <v>357.0</v>
      </c>
      <c r="B352" s="8" t="s">
        <v>26</v>
      </c>
      <c r="C352" s="8" t="s">
        <v>42</v>
      </c>
      <c r="D352" s="8" t="s">
        <v>28</v>
      </c>
      <c r="E352" s="17">
        <v>45706.0</v>
      </c>
      <c r="F352" s="16">
        <v>5.88</v>
      </c>
      <c r="G352" s="8" t="s">
        <v>58</v>
      </c>
      <c r="H352" s="8" t="s">
        <v>30</v>
      </c>
      <c r="I352" s="8">
        <v>1012.0</v>
      </c>
      <c r="J352" s="4" t="str">
        <f t="shared" si="1"/>
        <v>Germany</v>
      </c>
      <c r="K352" s="4" t="str">
        <f t="shared" si="2"/>
        <v>Berlin</v>
      </c>
      <c r="L352" s="4" t="b">
        <v>0</v>
      </c>
    </row>
    <row r="353">
      <c r="A353" s="8">
        <v>358.0</v>
      </c>
      <c r="B353" s="8" t="s">
        <v>38</v>
      </c>
      <c r="C353" s="8" t="s">
        <v>27</v>
      </c>
      <c r="D353" s="8" t="s">
        <v>35</v>
      </c>
      <c r="E353" s="17">
        <v>45742.0</v>
      </c>
      <c r="F353" s="16">
        <v>73.28</v>
      </c>
      <c r="G353" s="8" t="s">
        <v>29</v>
      </c>
      <c r="H353" s="8" t="s">
        <v>41</v>
      </c>
      <c r="I353" s="8">
        <v>1014.0</v>
      </c>
      <c r="J353" s="4" t="str">
        <f t="shared" si="1"/>
        <v>Czech Republic</v>
      </c>
      <c r="K353" s="4" t="str">
        <f t="shared" si="2"/>
        <v>Prague</v>
      </c>
      <c r="L353" s="4" t="b">
        <v>0</v>
      </c>
    </row>
    <row r="354">
      <c r="A354" s="8">
        <v>359.0</v>
      </c>
      <c r="B354" s="8" t="s">
        <v>31</v>
      </c>
      <c r="C354" s="16" t="s">
        <v>67</v>
      </c>
      <c r="D354" s="8" t="s">
        <v>43</v>
      </c>
      <c r="E354" s="17">
        <v>45758.0</v>
      </c>
      <c r="F354" s="16">
        <v>39.0</v>
      </c>
      <c r="G354" s="8" t="s">
        <v>58</v>
      </c>
      <c r="H354" s="8" t="s">
        <v>41</v>
      </c>
      <c r="I354" s="8">
        <v>1020.0</v>
      </c>
      <c r="J354" s="4" t="str">
        <f t="shared" si="1"/>
        <v>Czech Republic</v>
      </c>
      <c r="K354" s="4" t="str">
        <f t="shared" si="2"/>
        <v>Prague</v>
      </c>
      <c r="L354" s="4" t="b">
        <v>0</v>
      </c>
    </row>
    <row r="355">
      <c r="A355" s="8">
        <v>360.0</v>
      </c>
      <c r="B355" s="8" t="s">
        <v>31</v>
      </c>
      <c r="C355" s="8" t="s">
        <v>42</v>
      </c>
      <c r="D355" s="8" t="s">
        <v>43</v>
      </c>
      <c r="E355" s="17">
        <v>45663.0</v>
      </c>
      <c r="F355" s="16"/>
      <c r="G355" s="8" t="s">
        <v>29</v>
      </c>
      <c r="H355" s="8" t="s">
        <v>33</v>
      </c>
      <c r="I355" s="8">
        <v>1073.0</v>
      </c>
      <c r="J355" s="4" t="str">
        <f t="shared" si="1"/>
        <v>Germany</v>
      </c>
      <c r="K355" s="4" t="str">
        <f t="shared" si="2"/>
        <v>Berlin</v>
      </c>
      <c r="L355" s="4" t="b">
        <v>0</v>
      </c>
    </row>
    <row r="356">
      <c r="A356" s="8">
        <v>361.0</v>
      </c>
      <c r="B356" s="8" t="s">
        <v>34</v>
      </c>
      <c r="C356" s="8" t="s">
        <v>45</v>
      </c>
      <c r="D356" s="8" t="s">
        <v>32</v>
      </c>
      <c r="E356" s="17">
        <v>45743.0</v>
      </c>
      <c r="F356" s="16">
        <v>48.39</v>
      </c>
      <c r="G356" s="8" t="s">
        <v>36</v>
      </c>
      <c r="H356" s="8" t="s">
        <v>41</v>
      </c>
      <c r="I356" s="8">
        <v>1059.0</v>
      </c>
      <c r="J356" s="4" t="str">
        <f t="shared" si="1"/>
        <v>Poland</v>
      </c>
      <c r="K356" s="4" t="str">
        <f t="shared" si="2"/>
        <v>Warsaw</v>
      </c>
      <c r="L356" s="4" t="b">
        <v>1</v>
      </c>
    </row>
    <row r="357">
      <c r="A357" s="8">
        <v>362.0</v>
      </c>
      <c r="B357" s="8" t="s">
        <v>31</v>
      </c>
      <c r="C357" s="8" t="s">
        <v>45</v>
      </c>
      <c r="D357" s="8" t="s">
        <v>43</v>
      </c>
      <c r="E357" s="17">
        <v>45664.0</v>
      </c>
      <c r="F357" s="16">
        <v>45.47</v>
      </c>
      <c r="G357" s="8" t="s">
        <v>29</v>
      </c>
      <c r="H357" s="8" t="s">
        <v>33</v>
      </c>
      <c r="I357" s="8">
        <v>1097.0</v>
      </c>
      <c r="J357" s="4" t="str">
        <f t="shared" si="1"/>
        <v>Poland</v>
      </c>
      <c r="K357" s="4" t="str">
        <f t="shared" si="2"/>
        <v>Warsaw</v>
      </c>
      <c r="L357" s="4" t="b">
        <v>0</v>
      </c>
    </row>
    <row r="358">
      <c r="A358" s="8">
        <v>363.0</v>
      </c>
      <c r="B358" s="8" t="s">
        <v>31</v>
      </c>
      <c r="C358" s="8" t="s">
        <v>27</v>
      </c>
      <c r="D358" s="8" t="s">
        <v>43</v>
      </c>
      <c r="E358" s="17">
        <v>45771.0</v>
      </c>
      <c r="F358" s="16">
        <v>64.07</v>
      </c>
      <c r="G358" s="8" t="s">
        <v>29</v>
      </c>
      <c r="H358" s="8" t="s">
        <v>41</v>
      </c>
      <c r="I358" s="8">
        <v>1043.0</v>
      </c>
      <c r="J358" s="4" t="str">
        <f t="shared" si="1"/>
        <v>Czech Republic</v>
      </c>
      <c r="K358" s="4" t="str">
        <f t="shared" si="2"/>
        <v>Prague</v>
      </c>
      <c r="L358" s="4" t="b">
        <v>0</v>
      </c>
    </row>
    <row r="359">
      <c r="A359" s="8">
        <v>364.0</v>
      </c>
      <c r="B359" s="8" t="s">
        <v>44</v>
      </c>
      <c r="C359" s="8" t="s">
        <v>42</v>
      </c>
      <c r="D359" s="8" t="s">
        <v>43</v>
      </c>
      <c r="E359" s="17">
        <v>45681.0</v>
      </c>
      <c r="F359" s="16">
        <v>50.43</v>
      </c>
      <c r="G359" s="8" t="s">
        <v>58</v>
      </c>
      <c r="H359" s="8" t="s">
        <v>30</v>
      </c>
      <c r="I359" s="8">
        <v>1021.0</v>
      </c>
      <c r="J359" s="4" t="str">
        <f t="shared" si="1"/>
        <v>Germany</v>
      </c>
      <c r="K359" s="4" t="str">
        <f t="shared" si="2"/>
        <v>Berlin</v>
      </c>
      <c r="L359" s="4" t="b">
        <v>0</v>
      </c>
    </row>
    <row r="360">
      <c r="A360" s="8">
        <v>365.0</v>
      </c>
      <c r="B360" s="8" t="s">
        <v>34</v>
      </c>
      <c r="C360" s="8" t="s">
        <v>27</v>
      </c>
      <c r="D360" s="8" t="s">
        <v>32</v>
      </c>
      <c r="E360" s="17">
        <v>45672.0</v>
      </c>
      <c r="F360" s="16">
        <v>81.22</v>
      </c>
      <c r="G360" s="8" t="s">
        <v>58</v>
      </c>
      <c r="H360" s="8" t="s">
        <v>33</v>
      </c>
      <c r="I360" s="8">
        <v>1078.0</v>
      </c>
      <c r="J360" s="4" t="str">
        <f t="shared" si="1"/>
        <v>Czech Republic</v>
      </c>
      <c r="K360" s="4" t="str">
        <f t="shared" si="2"/>
        <v>Prague</v>
      </c>
      <c r="L360" s="4" t="b">
        <v>0</v>
      </c>
    </row>
    <row r="361">
      <c r="A361" s="8">
        <v>366.0</v>
      </c>
      <c r="B361" s="8" t="s">
        <v>38</v>
      </c>
      <c r="C361" s="8" t="s">
        <v>45</v>
      </c>
      <c r="D361" s="8" t="s">
        <v>28</v>
      </c>
      <c r="E361" s="17">
        <v>45706.0</v>
      </c>
      <c r="F361" s="16">
        <v>89.32</v>
      </c>
      <c r="G361" s="8" t="s">
        <v>58</v>
      </c>
      <c r="H361" s="8" t="s">
        <v>33</v>
      </c>
      <c r="I361" s="8">
        <v>1008.0</v>
      </c>
      <c r="J361" s="4" t="str">
        <f t="shared" si="1"/>
        <v>Poland</v>
      </c>
      <c r="K361" s="4" t="str">
        <f t="shared" si="2"/>
        <v>Warsaw</v>
      </c>
      <c r="L361" s="4" t="b">
        <v>0</v>
      </c>
    </row>
    <row r="362">
      <c r="A362" s="8">
        <v>367.0</v>
      </c>
      <c r="B362" s="8" t="s">
        <v>34</v>
      </c>
      <c r="C362" s="8" t="s">
        <v>27</v>
      </c>
      <c r="D362" s="8" t="s">
        <v>43</v>
      </c>
      <c r="E362" s="17">
        <v>45691.0</v>
      </c>
      <c r="F362" s="16">
        <v>63.73</v>
      </c>
      <c r="G362" s="8" t="s">
        <v>58</v>
      </c>
      <c r="H362" s="8" t="s">
        <v>30</v>
      </c>
      <c r="I362" s="8">
        <v>1093.0</v>
      </c>
      <c r="J362" s="4" t="str">
        <f t="shared" si="1"/>
        <v>Czech Republic</v>
      </c>
      <c r="K362" s="4" t="str">
        <f t="shared" si="2"/>
        <v>Prague</v>
      </c>
      <c r="L362" s="4" t="b">
        <v>0</v>
      </c>
    </row>
    <row r="363">
      <c r="A363" s="8">
        <v>368.0</v>
      </c>
      <c r="B363" s="8" t="s">
        <v>44</v>
      </c>
      <c r="C363" s="8" t="s">
        <v>27</v>
      </c>
      <c r="D363" s="8" t="s">
        <v>32</v>
      </c>
      <c r="E363" s="21">
        <v>45689.0</v>
      </c>
      <c r="F363" s="16">
        <v>53.03</v>
      </c>
      <c r="G363" s="8" t="s">
        <v>58</v>
      </c>
      <c r="H363" s="8" t="s">
        <v>41</v>
      </c>
      <c r="I363" s="8">
        <v>1021.0</v>
      </c>
      <c r="J363" s="4" t="str">
        <f t="shared" si="1"/>
        <v>Czech Republic</v>
      </c>
      <c r="K363" s="4" t="str">
        <f t="shared" si="2"/>
        <v>Prague</v>
      </c>
      <c r="L363" s="4" t="b">
        <v>0</v>
      </c>
    </row>
    <row r="364">
      <c r="A364" s="8">
        <v>369.0</v>
      </c>
      <c r="B364" s="8" t="s">
        <v>26</v>
      </c>
      <c r="C364" s="8" t="s">
        <v>27</v>
      </c>
      <c r="D364" s="8" t="s">
        <v>43</v>
      </c>
      <c r="E364" s="17">
        <v>45667.0</v>
      </c>
      <c r="F364" s="16">
        <v>26.16</v>
      </c>
      <c r="G364" s="8" t="s">
        <v>58</v>
      </c>
      <c r="H364" s="8" t="s">
        <v>41</v>
      </c>
      <c r="I364" s="8">
        <v>1030.0</v>
      </c>
      <c r="J364" s="4" t="str">
        <f t="shared" si="1"/>
        <v>Czech Republic</v>
      </c>
      <c r="K364" s="4" t="str">
        <f t="shared" si="2"/>
        <v>Prague</v>
      </c>
      <c r="L364" s="4" t="b">
        <v>0</v>
      </c>
    </row>
    <row r="365">
      <c r="A365" s="8">
        <v>370.0</v>
      </c>
      <c r="B365" s="8" t="s">
        <v>38</v>
      </c>
      <c r="C365" s="8" t="s">
        <v>42</v>
      </c>
      <c r="D365" s="8" t="s">
        <v>32</v>
      </c>
      <c r="E365" s="17">
        <v>45668.0</v>
      </c>
      <c r="F365" s="16">
        <v>16.28</v>
      </c>
      <c r="G365" s="8" t="s">
        <v>58</v>
      </c>
      <c r="H365" s="8" t="s">
        <v>30</v>
      </c>
      <c r="I365" s="8">
        <v>1083.0</v>
      </c>
      <c r="J365" s="4" t="str">
        <f t="shared" si="1"/>
        <v>Germany</v>
      </c>
      <c r="K365" s="4" t="str">
        <f t="shared" si="2"/>
        <v>Berlin</v>
      </c>
      <c r="L365" s="4" t="b">
        <v>0</v>
      </c>
    </row>
    <row r="366">
      <c r="A366" s="8">
        <v>371.0</v>
      </c>
      <c r="B366" s="8" t="s">
        <v>44</v>
      </c>
      <c r="C366" s="23" t="s">
        <v>68</v>
      </c>
      <c r="D366" s="8" t="s">
        <v>32</v>
      </c>
      <c r="E366" s="17">
        <v>45660.0</v>
      </c>
      <c r="F366" s="16">
        <v>96.5</v>
      </c>
      <c r="G366" s="8" t="s">
        <v>36</v>
      </c>
      <c r="H366" s="8" t="s">
        <v>30</v>
      </c>
      <c r="I366" s="8">
        <v>1071.0</v>
      </c>
      <c r="J366" s="4" t="str">
        <f t="shared" si="1"/>
        <v>Poland</v>
      </c>
      <c r="K366" s="4" t="str">
        <f t="shared" si="2"/>
        <v>Warsaw</v>
      </c>
      <c r="L366" s="4" t="b">
        <v>1</v>
      </c>
    </row>
    <row r="367">
      <c r="A367" s="8">
        <v>372.0</v>
      </c>
      <c r="B367" s="8" t="s">
        <v>44</v>
      </c>
      <c r="C367" s="8" t="s">
        <v>37</v>
      </c>
      <c r="D367" s="8" t="s">
        <v>43</v>
      </c>
      <c r="E367" s="17">
        <v>45684.0</v>
      </c>
      <c r="F367" s="16">
        <v>85.21</v>
      </c>
      <c r="G367" s="8" t="s">
        <v>36</v>
      </c>
      <c r="H367" s="8" t="s">
        <v>30</v>
      </c>
      <c r="I367" s="8">
        <v>1098.0</v>
      </c>
      <c r="J367" s="4" t="str">
        <f t="shared" si="1"/>
        <v>Ukraine</v>
      </c>
      <c r="K367" s="4" t="str">
        <f t="shared" si="2"/>
        <v>Kyiv</v>
      </c>
      <c r="L367" s="4" t="b">
        <v>1</v>
      </c>
    </row>
    <row r="368">
      <c r="A368" s="8">
        <v>373.0</v>
      </c>
      <c r="B368" s="8" t="s">
        <v>26</v>
      </c>
      <c r="C368" s="8" t="s">
        <v>42</v>
      </c>
      <c r="D368" s="8" t="s">
        <v>32</v>
      </c>
      <c r="E368" s="17">
        <v>45737.0</v>
      </c>
      <c r="F368" s="16">
        <v>5.21</v>
      </c>
      <c r="G368" s="8" t="s">
        <v>36</v>
      </c>
      <c r="H368" s="8" t="s">
        <v>30</v>
      </c>
      <c r="I368" s="8">
        <v>1037.0</v>
      </c>
      <c r="J368" s="4" t="str">
        <f t="shared" si="1"/>
        <v>Germany</v>
      </c>
      <c r="K368" s="4" t="str">
        <f t="shared" si="2"/>
        <v>Berlin</v>
      </c>
      <c r="L368" s="4" t="b">
        <v>0</v>
      </c>
    </row>
    <row r="369">
      <c r="A369" s="8">
        <v>374.0</v>
      </c>
      <c r="B369" s="8" t="s">
        <v>34</v>
      </c>
      <c r="C369" s="8" t="s">
        <v>45</v>
      </c>
      <c r="D369" s="8" t="s">
        <v>28</v>
      </c>
      <c r="E369" s="17">
        <v>45728.0</v>
      </c>
      <c r="F369" s="16">
        <v>75.54</v>
      </c>
      <c r="G369" s="8" t="s">
        <v>58</v>
      </c>
      <c r="H369" s="8" t="s">
        <v>33</v>
      </c>
      <c r="I369" s="8">
        <v>1032.0</v>
      </c>
      <c r="J369" s="4" t="str">
        <f t="shared" si="1"/>
        <v>Poland</v>
      </c>
      <c r="K369" s="4" t="str">
        <f t="shared" si="2"/>
        <v>Warsaw</v>
      </c>
      <c r="L369" s="4" t="b">
        <v>0</v>
      </c>
    </row>
    <row r="370">
      <c r="A370" s="8">
        <v>375.0</v>
      </c>
      <c r="B370" s="8" t="s">
        <v>34</v>
      </c>
      <c r="C370" s="8" t="s">
        <v>42</v>
      </c>
      <c r="D370" s="8" t="s">
        <v>28</v>
      </c>
      <c r="E370" s="17">
        <v>45736.0</v>
      </c>
      <c r="F370" s="16">
        <v>73.09</v>
      </c>
      <c r="G370" s="8" t="s">
        <v>29</v>
      </c>
      <c r="H370" s="8" t="s">
        <v>41</v>
      </c>
      <c r="I370" s="8">
        <v>1005.0</v>
      </c>
      <c r="J370" s="4" t="str">
        <f t="shared" si="1"/>
        <v>Germany</v>
      </c>
      <c r="K370" s="4" t="str">
        <f t="shared" si="2"/>
        <v>Berlin</v>
      </c>
      <c r="L370" s="4" t="b">
        <v>0</v>
      </c>
    </row>
    <row r="371">
      <c r="A371" s="8">
        <v>376.0</v>
      </c>
      <c r="B371" s="8" t="s">
        <v>38</v>
      </c>
      <c r="C371" s="8" t="s">
        <v>45</v>
      </c>
      <c r="D371" s="8" t="s">
        <v>35</v>
      </c>
      <c r="E371" s="17">
        <v>45776.0</v>
      </c>
      <c r="F371" s="16">
        <v>52.9</v>
      </c>
      <c r="G371" s="8" t="s">
        <v>58</v>
      </c>
      <c r="H371" s="8" t="s">
        <v>33</v>
      </c>
      <c r="I371" s="8">
        <v>1067.0</v>
      </c>
      <c r="J371" s="4" t="str">
        <f t="shared" si="1"/>
        <v>Poland</v>
      </c>
      <c r="K371" s="4" t="str">
        <f t="shared" si="2"/>
        <v>Warsaw</v>
      </c>
      <c r="L371" s="4" t="b">
        <v>0</v>
      </c>
    </row>
    <row r="372">
      <c r="A372" s="8">
        <v>377.0</v>
      </c>
      <c r="B372" s="8" t="s">
        <v>44</v>
      </c>
      <c r="C372" s="8" t="s">
        <v>42</v>
      </c>
      <c r="D372" s="8" t="s">
        <v>28</v>
      </c>
      <c r="E372" s="17">
        <v>45752.0</v>
      </c>
      <c r="F372" s="16">
        <v>82.45</v>
      </c>
      <c r="G372" s="8" t="s">
        <v>29</v>
      </c>
      <c r="H372" s="8" t="s">
        <v>41</v>
      </c>
      <c r="I372" s="8">
        <v>1084.0</v>
      </c>
      <c r="J372" s="4" t="str">
        <f t="shared" si="1"/>
        <v>Germany</v>
      </c>
      <c r="K372" s="4" t="str">
        <f t="shared" si="2"/>
        <v>Berlin</v>
      </c>
      <c r="L372" s="4" t="b">
        <v>0</v>
      </c>
    </row>
    <row r="373">
      <c r="A373" s="8">
        <v>378.0</v>
      </c>
      <c r="B373" s="8" t="s">
        <v>26</v>
      </c>
      <c r="C373" s="8" t="s">
        <v>42</v>
      </c>
      <c r="D373" s="8" t="s">
        <v>35</v>
      </c>
      <c r="E373" s="17">
        <v>45734.0</v>
      </c>
      <c r="F373" s="16">
        <v>77.43</v>
      </c>
      <c r="G373" s="8" t="s">
        <v>36</v>
      </c>
      <c r="H373" s="8" t="s">
        <v>41</v>
      </c>
      <c r="I373" s="8">
        <v>1043.0</v>
      </c>
      <c r="J373" s="4" t="str">
        <f t="shared" si="1"/>
        <v>Germany</v>
      </c>
      <c r="K373" s="4" t="str">
        <f t="shared" si="2"/>
        <v>Berlin</v>
      </c>
      <c r="L373" s="4" t="b">
        <v>1</v>
      </c>
    </row>
    <row r="374">
      <c r="A374" s="8">
        <v>379.0</v>
      </c>
      <c r="B374" s="8" t="s">
        <v>31</v>
      </c>
      <c r="C374" s="16" t="s">
        <v>67</v>
      </c>
      <c r="D374" s="8" t="s">
        <v>35</v>
      </c>
      <c r="E374" s="17">
        <v>45695.0</v>
      </c>
      <c r="F374" s="16">
        <v>53.67</v>
      </c>
      <c r="G374" s="8" t="s">
        <v>36</v>
      </c>
      <c r="H374" s="8" t="s">
        <v>30</v>
      </c>
      <c r="I374" s="8">
        <v>1094.0</v>
      </c>
      <c r="J374" s="4" t="str">
        <f t="shared" si="1"/>
        <v>Czech Republic</v>
      </c>
      <c r="K374" s="4" t="str">
        <f t="shared" si="2"/>
        <v>Prague</v>
      </c>
      <c r="L374" s="4" t="b">
        <v>0</v>
      </c>
    </row>
    <row r="375">
      <c r="A375" s="8">
        <v>380.0</v>
      </c>
      <c r="B375" s="8" t="s">
        <v>31</v>
      </c>
      <c r="C375" s="8" t="s">
        <v>27</v>
      </c>
      <c r="D375" s="8" t="s">
        <v>28</v>
      </c>
      <c r="E375" s="17">
        <v>45777.0</v>
      </c>
      <c r="F375" s="16">
        <v>37.8</v>
      </c>
      <c r="G375" s="8" t="s">
        <v>40</v>
      </c>
      <c r="H375" s="8" t="s">
        <v>30</v>
      </c>
      <c r="I375" s="8">
        <v>1083.0</v>
      </c>
      <c r="J375" s="4" t="str">
        <f t="shared" si="1"/>
        <v>Czech Republic</v>
      </c>
      <c r="K375" s="4" t="str">
        <f t="shared" si="2"/>
        <v>Prague</v>
      </c>
      <c r="L375" s="4" t="b">
        <v>1</v>
      </c>
    </row>
    <row r="376">
      <c r="A376" s="8">
        <v>381.0</v>
      </c>
      <c r="B376" s="8" t="s">
        <v>26</v>
      </c>
      <c r="C376" s="8" t="s">
        <v>45</v>
      </c>
      <c r="D376" s="8" t="s">
        <v>43</v>
      </c>
      <c r="E376" s="17">
        <v>45680.0</v>
      </c>
      <c r="F376" s="16">
        <v>94.55</v>
      </c>
      <c r="G376" s="8" t="s">
        <v>58</v>
      </c>
      <c r="H376" s="8" t="s">
        <v>30</v>
      </c>
      <c r="I376" s="8">
        <v>1095.0</v>
      </c>
      <c r="J376" s="4" t="str">
        <f t="shared" si="1"/>
        <v>Poland</v>
      </c>
      <c r="K376" s="4" t="str">
        <f t="shared" si="2"/>
        <v>Warsaw</v>
      </c>
      <c r="L376" s="4" t="b">
        <v>0</v>
      </c>
    </row>
    <row r="377">
      <c r="A377" s="8">
        <v>382.0</v>
      </c>
      <c r="B377" s="8" t="s">
        <v>26</v>
      </c>
      <c r="C377" s="8" t="s">
        <v>42</v>
      </c>
      <c r="D377" s="8" t="s">
        <v>32</v>
      </c>
      <c r="E377" s="17">
        <v>45772.0</v>
      </c>
      <c r="F377" s="16"/>
      <c r="G377" s="8" t="s">
        <v>40</v>
      </c>
      <c r="H377" s="8" t="s">
        <v>33</v>
      </c>
      <c r="I377" s="8">
        <v>1085.0</v>
      </c>
      <c r="J377" s="4" t="str">
        <f t="shared" si="1"/>
        <v>Germany</v>
      </c>
      <c r="K377" s="4" t="str">
        <f t="shared" si="2"/>
        <v>Berlin</v>
      </c>
      <c r="L377" s="4" t="b">
        <v>0</v>
      </c>
    </row>
    <row r="378">
      <c r="A378" s="8">
        <v>383.0</v>
      </c>
      <c r="B378" s="8" t="s">
        <v>31</v>
      </c>
      <c r="C378" s="8" t="s">
        <v>37</v>
      </c>
      <c r="D378" s="8" t="s">
        <v>43</v>
      </c>
      <c r="E378" s="17">
        <v>45665.0</v>
      </c>
      <c r="F378" s="16">
        <v>79.51</v>
      </c>
      <c r="G378" s="8" t="s">
        <v>40</v>
      </c>
      <c r="H378" s="8" t="s">
        <v>30</v>
      </c>
      <c r="I378" s="8">
        <v>1004.0</v>
      </c>
      <c r="J378" s="4" t="str">
        <f t="shared" si="1"/>
        <v>Ukraine</v>
      </c>
      <c r="K378" s="4" t="str">
        <f t="shared" si="2"/>
        <v>Kyiv</v>
      </c>
      <c r="L378" s="4" t="b">
        <v>1</v>
      </c>
    </row>
    <row r="379">
      <c r="A379" s="8">
        <v>384.0</v>
      </c>
      <c r="B379" s="8" t="s">
        <v>34</v>
      </c>
      <c r="C379" s="8" t="s">
        <v>27</v>
      </c>
      <c r="D379" s="8" t="s">
        <v>35</v>
      </c>
      <c r="E379" s="17">
        <v>45703.0</v>
      </c>
      <c r="F379" s="16">
        <v>80.89</v>
      </c>
      <c r="G379" s="8" t="s">
        <v>36</v>
      </c>
      <c r="H379" s="8" t="s">
        <v>30</v>
      </c>
      <c r="I379" s="8">
        <v>1085.0</v>
      </c>
      <c r="J379" s="4" t="str">
        <f t="shared" si="1"/>
        <v>Czech Republic</v>
      </c>
      <c r="K379" s="4" t="str">
        <f t="shared" si="2"/>
        <v>Prague</v>
      </c>
      <c r="L379" s="4" t="b">
        <v>0</v>
      </c>
    </row>
    <row r="380">
      <c r="A380" s="8">
        <v>385.0</v>
      </c>
      <c r="B380" s="8" t="s">
        <v>44</v>
      </c>
      <c r="C380" s="8" t="s">
        <v>42</v>
      </c>
      <c r="D380" s="8" t="s">
        <v>43</v>
      </c>
      <c r="E380" s="17">
        <v>45664.0</v>
      </c>
      <c r="F380" s="16">
        <v>75.65</v>
      </c>
      <c r="G380" s="8" t="s">
        <v>40</v>
      </c>
      <c r="H380" s="8" t="s">
        <v>30</v>
      </c>
      <c r="I380" s="8">
        <v>1099.0</v>
      </c>
      <c r="J380" s="4" t="str">
        <f t="shared" si="1"/>
        <v>Germany</v>
      </c>
      <c r="K380" s="4" t="str">
        <f t="shared" si="2"/>
        <v>Berlin</v>
      </c>
      <c r="L380" s="4" t="b">
        <v>0</v>
      </c>
    </row>
    <row r="381">
      <c r="A381" s="8">
        <v>386.0</v>
      </c>
      <c r="B381" s="8" t="s">
        <v>31</v>
      </c>
      <c r="C381" s="8" t="s">
        <v>37</v>
      </c>
      <c r="D381" s="8" t="s">
        <v>28</v>
      </c>
      <c r="E381" s="17">
        <v>45768.0</v>
      </c>
      <c r="F381" s="16">
        <v>32.95</v>
      </c>
      <c r="G381" s="8" t="s">
        <v>40</v>
      </c>
      <c r="H381" s="8" t="s">
        <v>30</v>
      </c>
      <c r="I381" s="8">
        <v>1009.0</v>
      </c>
      <c r="J381" s="4" t="str">
        <f t="shared" si="1"/>
        <v>Ukraine</v>
      </c>
      <c r="K381" s="4" t="str">
        <f t="shared" si="2"/>
        <v>Kyiv</v>
      </c>
      <c r="L381" s="4" t="b">
        <v>0</v>
      </c>
    </row>
    <row r="382">
      <c r="A382" s="8">
        <v>387.0</v>
      </c>
      <c r="B382" s="8" t="s">
        <v>38</v>
      </c>
      <c r="C382" s="8" t="s">
        <v>45</v>
      </c>
      <c r="D382" s="8" t="s">
        <v>35</v>
      </c>
      <c r="E382" s="17">
        <v>45681.0</v>
      </c>
      <c r="F382" s="16">
        <v>30.1</v>
      </c>
      <c r="G382" s="8" t="s">
        <v>40</v>
      </c>
      <c r="H382" s="8" t="s">
        <v>30</v>
      </c>
      <c r="I382" s="8">
        <v>1032.0</v>
      </c>
      <c r="J382" s="4" t="str">
        <f t="shared" si="1"/>
        <v>Poland</v>
      </c>
      <c r="K382" s="4" t="str">
        <f t="shared" si="2"/>
        <v>Warsaw</v>
      </c>
      <c r="L382" s="4" t="b">
        <v>0</v>
      </c>
    </row>
    <row r="383">
      <c r="A383" s="8">
        <v>388.0</v>
      </c>
      <c r="B383" s="8" t="s">
        <v>31</v>
      </c>
      <c r="C383" s="8" t="s">
        <v>45</v>
      </c>
      <c r="D383" s="8" t="s">
        <v>28</v>
      </c>
      <c r="E383" s="17">
        <v>45658.0</v>
      </c>
      <c r="F383" s="16">
        <v>78.5</v>
      </c>
      <c r="G383" s="8" t="s">
        <v>36</v>
      </c>
      <c r="H383" s="8" t="s">
        <v>41</v>
      </c>
      <c r="I383" s="8">
        <v>1073.0</v>
      </c>
      <c r="J383" s="4" t="str">
        <f t="shared" si="1"/>
        <v>Poland</v>
      </c>
      <c r="K383" s="4" t="str">
        <f t="shared" si="2"/>
        <v>Warsaw</v>
      </c>
      <c r="L383" s="4" t="b">
        <v>0</v>
      </c>
    </row>
    <row r="384">
      <c r="A384" s="8">
        <v>389.0</v>
      </c>
      <c r="B384" s="8" t="s">
        <v>26</v>
      </c>
      <c r="C384" s="8" t="s">
        <v>27</v>
      </c>
      <c r="D384" s="8" t="s">
        <v>28</v>
      </c>
      <c r="E384" s="17">
        <v>45728.0</v>
      </c>
      <c r="F384" s="16">
        <v>20.14</v>
      </c>
      <c r="G384" s="8" t="s">
        <v>58</v>
      </c>
      <c r="H384" s="8" t="s">
        <v>33</v>
      </c>
      <c r="I384" s="8">
        <v>1044.0</v>
      </c>
      <c r="J384" s="4" t="str">
        <f t="shared" si="1"/>
        <v>Czech Republic</v>
      </c>
      <c r="K384" s="4" t="str">
        <f t="shared" si="2"/>
        <v>Prague</v>
      </c>
      <c r="L384" s="4" t="b">
        <v>1</v>
      </c>
    </row>
    <row r="385">
      <c r="A385" s="8">
        <v>390.0</v>
      </c>
      <c r="B385" s="8" t="s">
        <v>26</v>
      </c>
      <c r="C385" s="8" t="s">
        <v>37</v>
      </c>
      <c r="D385" s="8" t="s">
        <v>43</v>
      </c>
      <c r="E385" s="17">
        <v>45686.0</v>
      </c>
      <c r="F385" s="16">
        <v>63.74</v>
      </c>
      <c r="G385" s="8" t="s">
        <v>58</v>
      </c>
      <c r="H385" s="8" t="s">
        <v>30</v>
      </c>
      <c r="I385" s="8">
        <v>1096.0</v>
      </c>
      <c r="J385" s="4" t="str">
        <f t="shared" si="1"/>
        <v>Ukraine</v>
      </c>
      <c r="K385" s="4" t="str">
        <f t="shared" si="2"/>
        <v>Kyiv</v>
      </c>
      <c r="L385" s="4" t="b">
        <v>1</v>
      </c>
    </row>
    <row r="386">
      <c r="A386" s="8">
        <v>392.0</v>
      </c>
      <c r="B386" s="8" t="s">
        <v>34</v>
      </c>
      <c r="C386" s="8" t="s">
        <v>42</v>
      </c>
      <c r="D386" s="8" t="s">
        <v>43</v>
      </c>
      <c r="E386" s="17">
        <v>45706.0</v>
      </c>
      <c r="F386" s="16">
        <v>91.58</v>
      </c>
      <c r="G386" s="8" t="s">
        <v>36</v>
      </c>
      <c r="H386" s="8" t="s">
        <v>30</v>
      </c>
      <c r="I386" s="8">
        <v>1065.0</v>
      </c>
      <c r="J386" s="4" t="str">
        <f t="shared" si="1"/>
        <v>Germany</v>
      </c>
      <c r="K386" s="4" t="str">
        <f t="shared" si="2"/>
        <v>Berlin</v>
      </c>
      <c r="L386" s="4" t="b">
        <v>0</v>
      </c>
    </row>
    <row r="387">
      <c r="A387" s="8">
        <v>393.0</v>
      </c>
      <c r="B387" s="8" t="s">
        <v>26</v>
      </c>
      <c r="C387" s="8" t="s">
        <v>27</v>
      </c>
      <c r="D387" s="8" t="s">
        <v>43</v>
      </c>
      <c r="E387" s="17">
        <v>45715.0</v>
      </c>
      <c r="F387" s="16">
        <v>20.9</v>
      </c>
      <c r="G387" s="8" t="s">
        <v>29</v>
      </c>
      <c r="H387" s="8" t="s">
        <v>30</v>
      </c>
      <c r="I387" s="8">
        <v>1008.0</v>
      </c>
      <c r="J387" s="4" t="str">
        <f t="shared" si="1"/>
        <v>Czech Republic</v>
      </c>
      <c r="K387" s="4" t="str">
        <f t="shared" si="2"/>
        <v>Prague</v>
      </c>
      <c r="L387" s="4" t="b">
        <v>0</v>
      </c>
    </row>
    <row r="388">
      <c r="A388" s="8">
        <v>394.0</v>
      </c>
      <c r="B388" s="8" t="s">
        <v>31</v>
      </c>
      <c r="C388" s="8" t="s">
        <v>42</v>
      </c>
      <c r="D388" s="8" t="s">
        <v>32</v>
      </c>
      <c r="E388" s="17">
        <v>45684.0</v>
      </c>
      <c r="F388" s="16">
        <v>88.47</v>
      </c>
      <c r="G388" s="8" t="s">
        <v>58</v>
      </c>
      <c r="H388" s="8" t="s">
        <v>30</v>
      </c>
      <c r="I388" s="8">
        <v>1009.0</v>
      </c>
      <c r="J388" s="4" t="str">
        <f t="shared" si="1"/>
        <v>Germany</v>
      </c>
      <c r="K388" s="4" t="str">
        <f t="shared" si="2"/>
        <v>Berlin</v>
      </c>
      <c r="L388" s="4" t="b">
        <v>0</v>
      </c>
    </row>
    <row r="389">
      <c r="A389" s="8">
        <v>395.0</v>
      </c>
      <c r="B389" s="8" t="s">
        <v>34</v>
      </c>
      <c r="C389" s="8" t="s">
        <v>42</v>
      </c>
      <c r="D389" s="8" t="s">
        <v>43</v>
      </c>
      <c r="E389" s="17">
        <v>45753.0</v>
      </c>
      <c r="F389" s="16">
        <v>21.91</v>
      </c>
      <c r="G389" s="8" t="s">
        <v>36</v>
      </c>
      <c r="H389" s="8" t="s">
        <v>30</v>
      </c>
      <c r="I389" s="8">
        <v>1009.0</v>
      </c>
      <c r="J389" s="4" t="str">
        <f t="shared" si="1"/>
        <v>Germany</v>
      </c>
      <c r="K389" s="4" t="str">
        <f t="shared" si="2"/>
        <v>Berlin</v>
      </c>
      <c r="L389" s="4" t="b">
        <v>0</v>
      </c>
    </row>
    <row r="390">
      <c r="A390" s="8">
        <v>396.0</v>
      </c>
      <c r="B390" s="8" t="s">
        <v>26</v>
      </c>
      <c r="C390" s="8" t="s">
        <v>42</v>
      </c>
      <c r="D390" s="8" t="s">
        <v>35</v>
      </c>
      <c r="E390" s="17">
        <v>45731.0</v>
      </c>
      <c r="F390" s="16">
        <v>35.06</v>
      </c>
      <c r="G390" s="8" t="s">
        <v>58</v>
      </c>
      <c r="H390" s="8" t="s">
        <v>30</v>
      </c>
      <c r="I390" s="8">
        <v>1015.0</v>
      </c>
      <c r="J390" s="4" t="str">
        <f t="shared" si="1"/>
        <v>Germany</v>
      </c>
      <c r="K390" s="4" t="str">
        <f t="shared" si="2"/>
        <v>Berlin</v>
      </c>
      <c r="L390" s="4" t="b">
        <v>1</v>
      </c>
    </row>
    <row r="391">
      <c r="A391" s="8">
        <v>398.0</v>
      </c>
      <c r="B391" s="8" t="s">
        <v>34</v>
      </c>
      <c r="C391" s="8" t="s">
        <v>37</v>
      </c>
      <c r="D391" s="8" t="s">
        <v>35</v>
      </c>
      <c r="E391" s="17">
        <v>45745.0</v>
      </c>
      <c r="F391" s="16">
        <v>7.93</v>
      </c>
      <c r="G391" s="8" t="s">
        <v>40</v>
      </c>
      <c r="H391" s="8" t="s">
        <v>30</v>
      </c>
      <c r="I391" s="8">
        <v>1028.0</v>
      </c>
      <c r="J391" s="4" t="str">
        <f t="shared" si="1"/>
        <v>Ukraine</v>
      </c>
      <c r="K391" s="4" t="str">
        <f t="shared" si="2"/>
        <v>Kyiv</v>
      </c>
      <c r="L391" s="4" t="b">
        <v>0</v>
      </c>
    </row>
    <row r="392">
      <c r="A392" s="8">
        <v>399.0</v>
      </c>
      <c r="B392" s="8" t="s">
        <v>38</v>
      </c>
      <c r="C392" s="8" t="s">
        <v>37</v>
      </c>
      <c r="D392" s="8" t="s">
        <v>28</v>
      </c>
      <c r="E392" s="17">
        <v>45675.0</v>
      </c>
      <c r="F392" s="16">
        <v>96.71</v>
      </c>
      <c r="G392" s="8" t="s">
        <v>36</v>
      </c>
      <c r="H392" s="8" t="s">
        <v>33</v>
      </c>
      <c r="I392" s="8">
        <v>1070.0</v>
      </c>
      <c r="J392" s="4" t="str">
        <f t="shared" si="1"/>
        <v>Ukraine</v>
      </c>
      <c r="K392" s="4" t="str">
        <f t="shared" si="2"/>
        <v>Kyiv</v>
      </c>
      <c r="L392" s="4" t="b">
        <v>0</v>
      </c>
    </row>
    <row r="393">
      <c r="A393" s="8">
        <v>400.0</v>
      </c>
      <c r="B393" s="8" t="s">
        <v>34</v>
      </c>
      <c r="C393" s="8" t="s">
        <v>45</v>
      </c>
      <c r="D393" s="8" t="s">
        <v>32</v>
      </c>
      <c r="E393" s="17">
        <v>45769.0</v>
      </c>
      <c r="F393" s="16">
        <v>57.01</v>
      </c>
      <c r="G393" s="8" t="s">
        <v>29</v>
      </c>
      <c r="H393" s="8" t="s">
        <v>41</v>
      </c>
      <c r="I393" s="8">
        <v>1026.0</v>
      </c>
      <c r="J393" s="4" t="str">
        <f t="shared" si="1"/>
        <v>Poland</v>
      </c>
      <c r="K393" s="4" t="str">
        <f t="shared" si="2"/>
        <v>Warsaw</v>
      </c>
      <c r="L393" s="4" t="b">
        <v>1</v>
      </c>
    </row>
    <row r="394">
      <c r="A394" s="8">
        <v>401.0</v>
      </c>
      <c r="B394" s="8" t="s">
        <v>26</v>
      </c>
      <c r="C394" s="8" t="s">
        <v>27</v>
      </c>
      <c r="D394" s="8" t="s">
        <v>35</v>
      </c>
      <c r="E394" s="17">
        <v>45753.0</v>
      </c>
      <c r="F394" s="16">
        <v>18.53</v>
      </c>
      <c r="G394" s="8" t="s">
        <v>40</v>
      </c>
      <c r="H394" s="8" t="s">
        <v>33</v>
      </c>
      <c r="I394" s="8">
        <v>1078.0</v>
      </c>
      <c r="J394" s="4" t="str">
        <f t="shared" si="1"/>
        <v>Czech Republic</v>
      </c>
      <c r="K394" s="4" t="str">
        <f t="shared" si="2"/>
        <v>Prague</v>
      </c>
      <c r="L394" s="4" t="b">
        <v>0</v>
      </c>
    </row>
    <row r="395">
      <c r="A395" s="8">
        <v>402.0</v>
      </c>
      <c r="B395" s="8" t="s">
        <v>34</v>
      </c>
      <c r="C395" s="8" t="s">
        <v>27</v>
      </c>
      <c r="D395" s="8" t="s">
        <v>32</v>
      </c>
      <c r="E395" s="17">
        <v>45764.0</v>
      </c>
      <c r="F395" s="16">
        <v>99.46</v>
      </c>
      <c r="G395" s="8" t="s">
        <v>58</v>
      </c>
      <c r="H395" s="8" t="s">
        <v>30</v>
      </c>
      <c r="I395" s="8">
        <v>1070.0</v>
      </c>
      <c r="J395" s="4" t="str">
        <f t="shared" si="1"/>
        <v>Czech Republic</v>
      </c>
      <c r="K395" s="4" t="str">
        <f t="shared" si="2"/>
        <v>Prague</v>
      </c>
      <c r="L395" s="4" t="b">
        <v>0</v>
      </c>
    </row>
    <row r="396">
      <c r="A396" s="8">
        <v>403.0</v>
      </c>
      <c r="B396" s="8" t="s">
        <v>34</v>
      </c>
      <c r="C396" s="8" t="s">
        <v>37</v>
      </c>
      <c r="D396" s="8" t="s">
        <v>32</v>
      </c>
      <c r="E396" s="17">
        <v>45667.0</v>
      </c>
      <c r="F396" s="16">
        <v>95.4</v>
      </c>
      <c r="G396" s="8" t="s">
        <v>36</v>
      </c>
      <c r="H396" s="8" t="s">
        <v>33</v>
      </c>
      <c r="I396" s="8">
        <v>1085.0</v>
      </c>
      <c r="J396" s="4" t="str">
        <f t="shared" si="1"/>
        <v>Ukraine</v>
      </c>
      <c r="K396" s="4" t="str">
        <f t="shared" si="2"/>
        <v>Kyiv</v>
      </c>
      <c r="L396" s="4" t="b">
        <v>0</v>
      </c>
    </row>
    <row r="397">
      <c r="A397" s="8">
        <v>404.0</v>
      </c>
      <c r="B397" s="8" t="s">
        <v>26</v>
      </c>
      <c r="C397" s="8" t="s">
        <v>45</v>
      </c>
      <c r="D397" s="8" t="s">
        <v>28</v>
      </c>
      <c r="E397" s="17">
        <v>45741.0</v>
      </c>
      <c r="F397" s="16">
        <v>63.55</v>
      </c>
      <c r="G397" s="8" t="s">
        <v>36</v>
      </c>
      <c r="H397" s="8" t="s">
        <v>30</v>
      </c>
      <c r="I397" s="8">
        <v>1074.0</v>
      </c>
      <c r="J397" s="4" t="str">
        <f t="shared" si="1"/>
        <v>Poland</v>
      </c>
      <c r="K397" s="4" t="str">
        <f t="shared" si="2"/>
        <v>Warsaw</v>
      </c>
      <c r="L397" s="4" t="b">
        <v>0</v>
      </c>
    </row>
    <row r="398">
      <c r="A398" s="8">
        <v>405.0</v>
      </c>
      <c r="B398" s="8" t="s">
        <v>26</v>
      </c>
      <c r="C398" s="8" t="s">
        <v>37</v>
      </c>
      <c r="D398" s="8" t="s">
        <v>35</v>
      </c>
      <c r="E398" s="17">
        <v>45677.0</v>
      </c>
      <c r="F398" s="16">
        <v>79.64</v>
      </c>
      <c r="G398" s="8" t="s">
        <v>58</v>
      </c>
      <c r="H398" s="8" t="s">
        <v>41</v>
      </c>
      <c r="I398" s="8">
        <v>1046.0</v>
      </c>
      <c r="J398" s="4" t="str">
        <f t="shared" si="1"/>
        <v>Ukraine</v>
      </c>
      <c r="K398" s="4" t="str">
        <f t="shared" si="2"/>
        <v>Kyiv</v>
      </c>
      <c r="L398" s="4" t="b">
        <v>0</v>
      </c>
    </row>
    <row r="399">
      <c r="A399" s="8">
        <v>406.0</v>
      </c>
      <c r="B399" s="8" t="s">
        <v>26</v>
      </c>
      <c r="C399" s="8" t="s">
        <v>42</v>
      </c>
      <c r="D399" s="8" t="s">
        <v>35</v>
      </c>
      <c r="E399" s="17">
        <v>45675.0</v>
      </c>
      <c r="F399" s="16">
        <v>51.26</v>
      </c>
      <c r="G399" s="8" t="s">
        <v>29</v>
      </c>
      <c r="H399" s="8" t="s">
        <v>33</v>
      </c>
      <c r="I399" s="8">
        <v>1082.0</v>
      </c>
      <c r="J399" s="4" t="str">
        <f t="shared" si="1"/>
        <v>Germany</v>
      </c>
      <c r="K399" s="4" t="str">
        <f t="shared" si="2"/>
        <v>Berlin</v>
      </c>
      <c r="L399" s="4" t="b">
        <v>1</v>
      </c>
    </row>
    <row r="400">
      <c r="A400" s="8">
        <v>407.0</v>
      </c>
      <c r="B400" s="8" t="s">
        <v>26</v>
      </c>
      <c r="C400" s="16" t="s">
        <v>67</v>
      </c>
      <c r="D400" s="8" t="s">
        <v>28</v>
      </c>
      <c r="E400" s="17">
        <v>45735.0</v>
      </c>
      <c r="F400" s="16">
        <v>12.26</v>
      </c>
      <c r="G400" s="8" t="s">
        <v>29</v>
      </c>
      <c r="H400" s="8" t="s">
        <v>33</v>
      </c>
      <c r="I400" s="8">
        <v>1064.0</v>
      </c>
      <c r="J400" s="4" t="str">
        <f t="shared" si="1"/>
        <v>Czech Republic</v>
      </c>
      <c r="K400" s="4" t="str">
        <f t="shared" si="2"/>
        <v>Prague</v>
      </c>
      <c r="L400" s="4" t="b">
        <v>1</v>
      </c>
    </row>
    <row r="401">
      <c r="A401" s="8">
        <v>408.0</v>
      </c>
      <c r="B401" s="8" t="s">
        <v>38</v>
      </c>
      <c r="C401" s="8" t="s">
        <v>42</v>
      </c>
      <c r="D401" s="8" t="s">
        <v>28</v>
      </c>
      <c r="E401" s="17">
        <v>45738.0</v>
      </c>
      <c r="F401" s="16">
        <v>56.63</v>
      </c>
      <c r="G401" s="8" t="s">
        <v>58</v>
      </c>
      <c r="H401" s="8" t="s">
        <v>30</v>
      </c>
      <c r="I401" s="8">
        <v>1099.0</v>
      </c>
      <c r="J401" s="4" t="str">
        <f t="shared" si="1"/>
        <v>Germany</v>
      </c>
      <c r="K401" s="4" t="str">
        <f t="shared" si="2"/>
        <v>Berlin</v>
      </c>
      <c r="L401" s="4" t="b">
        <v>0</v>
      </c>
    </row>
    <row r="402">
      <c r="A402" s="8">
        <v>409.0</v>
      </c>
      <c r="B402" s="8" t="s">
        <v>31</v>
      </c>
      <c r="C402" s="8" t="s">
        <v>37</v>
      </c>
      <c r="D402" s="8" t="s">
        <v>28</v>
      </c>
      <c r="E402" s="17">
        <v>45677.0</v>
      </c>
      <c r="F402" s="16">
        <v>42.69</v>
      </c>
      <c r="G402" s="8" t="s">
        <v>29</v>
      </c>
      <c r="H402" s="8" t="s">
        <v>30</v>
      </c>
      <c r="I402" s="8">
        <v>1030.0</v>
      </c>
      <c r="J402" s="4" t="str">
        <f t="shared" si="1"/>
        <v>Ukraine</v>
      </c>
      <c r="K402" s="4" t="str">
        <f t="shared" si="2"/>
        <v>Kyiv</v>
      </c>
      <c r="L402" s="4" t="b">
        <v>0</v>
      </c>
    </row>
    <row r="403">
      <c r="A403" s="8">
        <v>410.0</v>
      </c>
      <c r="B403" s="8" t="s">
        <v>38</v>
      </c>
      <c r="C403" s="8" t="s">
        <v>27</v>
      </c>
      <c r="D403" s="8" t="s">
        <v>28</v>
      </c>
      <c r="E403" s="17">
        <v>45766.0</v>
      </c>
      <c r="F403" s="16">
        <v>95.13</v>
      </c>
      <c r="G403" s="8" t="s">
        <v>40</v>
      </c>
      <c r="H403" s="8" t="s">
        <v>30</v>
      </c>
      <c r="I403" s="8">
        <v>1093.0</v>
      </c>
      <c r="J403" s="4" t="str">
        <f t="shared" si="1"/>
        <v>Czech Republic</v>
      </c>
      <c r="K403" s="4" t="str">
        <f t="shared" si="2"/>
        <v>Prague</v>
      </c>
      <c r="L403" s="4" t="b">
        <v>1</v>
      </c>
    </row>
    <row r="404">
      <c r="A404" s="8">
        <v>411.0</v>
      </c>
      <c r="B404" s="8" t="s">
        <v>34</v>
      </c>
      <c r="C404" s="8" t="s">
        <v>27</v>
      </c>
      <c r="D404" s="8" t="s">
        <v>35</v>
      </c>
      <c r="E404" s="17">
        <v>45719.0</v>
      </c>
      <c r="F404" s="16">
        <v>27.23</v>
      </c>
      <c r="G404" s="8" t="s">
        <v>40</v>
      </c>
      <c r="H404" s="8" t="s">
        <v>30</v>
      </c>
      <c r="I404" s="8">
        <v>1046.0</v>
      </c>
      <c r="J404" s="4" t="str">
        <f t="shared" si="1"/>
        <v>Czech Republic</v>
      </c>
      <c r="K404" s="4" t="str">
        <f t="shared" si="2"/>
        <v>Prague</v>
      </c>
      <c r="L404" s="4" t="b">
        <v>0</v>
      </c>
    </row>
    <row r="405">
      <c r="A405" s="8">
        <v>412.0</v>
      </c>
      <c r="B405" s="8" t="s">
        <v>44</v>
      </c>
      <c r="C405" s="8" t="s">
        <v>45</v>
      </c>
      <c r="D405" s="8" t="s">
        <v>32</v>
      </c>
      <c r="E405" s="17">
        <v>45707.0</v>
      </c>
      <c r="F405" s="16">
        <v>71.85</v>
      </c>
      <c r="G405" s="8" t="s">
        <v>36</v>
      </c>
      <c r="H405" s="8" t="s">
        <v>30</v>
      </c>
      <c r="I405" s="8">
        <v>1033.0</v>
      </c>
      <c r="J405" s="4" t="str">
        <f t="shared" si="1"/>
        <v>Poland</v>
      </c>
      <c r="K405" s="4" t="str">
        <f t="shared" si="2"/>
        <v>Warsaw</v>
      </c>
      <c r="L405" s="4" t="b">
        <v>1</v>
      </c>
    </row>
    <row r="406">
      <c r="A406" s="8">
        <v>413.0</v>
      </c>
      <c r="B406" s="8" t="s">
        <v>31</v>
      </c>
      <c r="C406" s="8" t="s">
        <v>42</v>
      </c>
      <c r="D406" s="8" t="s">
        <v>35</v>
      </c>
      <c r="E406" s="17">
        <v>45732.0</v>
      </c>
      <c r="F406" s="16">
        <v>84.37</v>
      </c>
      <c r="G406" s="8" t="s">
        <v>36</v>
      </c>
      <c r="H406" s="8" t="s">
        <v>41</v>
      </c>
      <c r="I406" s="8">
        <v>1028.0</v>
      </c>
      <c r="J406" s="4" t="str">
        <f t="shared" si="1"/>
        <v>Germany</v>
      </c>
      <c r="K406" s="4" t="str">
        <f t="shared" si="2"/>
        <v>Berlin</v>
      </c>
      <c r="L406" s="4" t="b">
        <v>1</v>
      </c>
    </row>
    <row r="407">
      <c r="A407" s="8">
        <v>414.0</v>
      </c>
      <c r="B407" s="8" t="s">
        <v>26</v>
      </c>
      <c r="C407" s="8" t="s">
        <v>42</v>
      </c>
      <c r="D407" s="8" t="s">
        <v>35</v>
      </c>
      <c r="E407" s="17">
        <v>45724.0</v>
      </c>
      <c r="F407" s="16"/>
      <c r="G407" s="8" t="s">
        <v>40</v>
      </c>
      <c r="H407" s="8" t="s">
        <v>41</v>
      </c>
      <c r="I407" s="8">
        <v>1021.0</v>
      </c>
      <c r="J407" s="4" t="str">
        <f t="shared" si="1"/>
        <v>Germany</v>
      </c>
      <c r="K407" s="4" t="str">
        <f t="shared" si="2"/>
        <v>Berlin</v>
      </c>
      <c r="L407" s="4" t="b">
        <v>1</v>
      </c>
    </row>
    <row r="408">
      <c r="A408" s="8">
        <v>415.0</v>
      </c>
      <c r="B408" s="8" t="s">
        <v>26</v>
      </c>
      <c r="C408" s="8" t="s">
        <v>27</v>
      </c>
      <c r="D408" s="8" t="s">
        <v>28</v>
      </c>
      <c r="E408" s="17">
        <v>45687.0</v>
      </c>
      <c r="F408" s="16">
        <v>73.14</v>
      </c>
      <c r="G408" s="8" t="s">
        <v>29</v>
      </c>
      <c r="H408" s="8" t="s">
        <v>30</v>
      </c>
      <c r="I408" s="8">
        <v>1029.0</v>
      </c>
      <c r="J408" s="4" t="str">
        <f t="shared" si="1"/>
        <v>Czech Republic</v>
      </c>
      <c r="K408" s="4" t="str">
        <f t="shared" si="2"/>
        <v>Prague</v>
      </c>
      <c r="L408" s="4" t="b">
        <v>1</v>
      </c>
    </row>
    <row r="409">
      <c r="A409" s="8">
        <v>416.0</v>
      </c>
      <c r="B409" s="8" t="s">
        <v>34</v>
      </c>
      <c r="C409" s="8" t="s">
        <v>42</v>
      </c>
      <c r="D409" s="8" t="s">
        <v>35</v>
      </c>
      <c r="E409" s="17">
        <v>45711.0</v>
      </c>
      <c r="F409" s="16">
        <v>66.49</v>
      </c>
      <c r="G409" s="8" t="s">
        <v>58</v>
      </c>
      <c r="H409" s="8" t="s">
        <v>33</v>
      </c>
      <c r="I409" s="8">
        <v>1031.0</v>
      </c>
      <c r="J409" s="4" t="str">
        <f t="shared" si="1"/>
        <v>Germany</v>
      </c>
      <c r="K409" s="4" t="str">
        <f t="shared" si="2"/>
        <v>Berlin</v>
      </c>
      <c r="L409" s="4" t="b">
        <v>1</v>
      </c>
    </row>
    <row r="410">
      <c r="A410" s="8">
        <v>417.0</v>
      </c>
      <c r="B410" s="8" t="s">
        <v>38</v>
      </c>
      <c r="C410" s="8" t="s">
        <v>27</v>
      </c>
      <c r="D410" s="8" t="s">
        <v>28</v>
      </c>
      <c r="E410" s="17">
        <v>45663.0</v>
      </c>
      <c r="F410" s="16"/>
      <c r="G410" s="8" t="s">
        <v>40</v>
      </c>
      <c r="H410" s="8" t="s">
        <v>33</v>
      </c>
      <c r="I410" s="8">
        <v>1021.0</v>
      </c>
      <c r="J410" s="4" t="str">
        <f t="shared" si="1"/>
        <v>Czech Republic</v>
      </c>
      <c r="K410" s="4" t="str">
        <f t="shared" si="2"/>
        <v>Prague</v>
      </c>
      <c r="L410" s="4" t="b">
        <v>1</v>
      </c>
    </row>
    <row r="411">
      <c r="A411" s="8">
        <v>418.0</v>
      </c>
      <c r="B411" s="8" t="s">
        <v>38</v>
      </c>
      <c r="C411" s="8" t="s">
        <v>42</v>
      </c>
      <c r="D411" s="8" t="s">
        <v>32</v>
      </c>
      <c r="E411" s="17">
        <v>45691.0</v>
      </c>
      <c r="F411" s="16">
        <v>83.02</v>
      </c>
      <c r="G411" s="8" t="s">
        <v>29</v>
      </c>
      <c r="H411" s="8" t="s">
        <v>33</v>
      </c>
      <c r="I411" s="8">
        <v>1057.0</v>
      </c>
      <c r="J411" s="4" t="str">
        <f t="shared" si="1"/>
        <v>Germany</v>
      </c>
      <c r="K411" s="4" t="str">
        <f t="shared" si="2"/>
        <v>Berlin</v>
      </c>
      <c r="L411" s="4" t="b">
        <v>0</v>
      </c>
    </row>
    <row r="412">
      <c r="A412" s="8">
        <v>419.0</v>
      </c>
      <c r="B412" s="8" t="s">
        <v>44</v>
      </c>
      <c r="C412" s="8" t="s">
        <v>27</v>
      </c>
      <c r="D412" s="8" t="s">
        <v>28</v>
      </c>
      <c r="E412" s="17">
        <v>45735.0</v>
      </c>
      <c r="F412" s="16">
        <v>80.49</v>
      </c>
      <c r="G412" s="8" t="s">
        <v>40</v>
      </c>
      <c r="H412" s="8" t="s">
        <v>30</v>
      </c>
      <c r="I412" s="8">
        <v>1084.0</v>
      </c>
      <c r="J412" s="4" t="str">
        <f t="shared" si="1"/>
        <v>Czech Republic</v>
      </c>
      <c r="K412" s="4" t="str">
        <f t="shared" si="2"/>
        <v>Prague</v>
      </c>
      <c r="L412" s="4" t="b">
        <v>1</v>
      </c>
    </row>
    <row r="413">
      <c r="A413" s="8">
        <v>420.0</v>
      </c>
      <c r="B413" s="8" t="s">
        <v>26</v>
      </c>
      <c r="C413" s="8" t="s">
        <v>42</v>
      </c>
      <c r="D413" s="8" t="s">
        <v>32</v>
      </c>
      <c r="E413" s="17">
        <v>45723.0</v>
      </c>
      <c r="F413" s="16">
        <v>15.31</v>
      </c>
      <c r="G413" s="8" t="s">
        <v>40</v>
      </c>
      <c r="H413" s="8" t="s">
        <v>30</v>
      </c>
      <c r="I413" s="8">
        <v>1064.0</v>
      </c>
      <c r="J413" s="4" t="str">
        <f t="shared" si="1"/>
        <v>Germany</v>
      </c>
      <c r="K413" s="4" t="str">
        <f t="shared" si="2"/>
        <v>Berlin</v>
      </c>
      <c r="L413" s="4" t="b">
        <v>0</v>
      </c>
    </row>
    <row r="414">
      <c r="A414" s="8">
        <v>421.0</v>
      </c>
      <c r="B414" s="8" t="s">
        <v>31</v>
      </c>
      <c r="C414" s="8" t="s">
        <v>45</v>
      </c>
      <c r="D414" s="8" t="s">
        <v>28</v>
      </c>
      <c r="E414" s="17">
        <v>45745.0</v>
      </c>
      <c r="F414" s="16">
        <v>8.71</v>
      </c>
      <c r="G414" s="8" t="s">
        <v>29</v>
      </c>
      <c r="H414" s="8" t="s">
        <v>33</v>
      </c>
      <c r="I414" s="8">
        <v>1061.0</v>
      </c>
      <c r="J414" s="4" t="str">
        <f t="shared" si="1"/>
        <v>Poland</v>
      </c>
      <c r="K414" s="4" t="str">
        <f t="shared" si="2"/>
        <v>Warsaw</v>
      </c>
      <c r="L414" s="4" t="b">
        <v>0</v>
      </c>
    </row>
    <row r="415">
      <c r="A415" s="8">
        <v>422.0</v>
      </c>
      <c r="B415" s="8" t="s">
        <v>38</v>
      </c>
      <c r="C415" s="8" t="s">
        <v>45</v>
      </c>
      <c r="D415" s="8" t="s">
        <v>35</v>
      </c>
      <c r="E415" s="17">
        <v>45742.0</v>
      </c>
      <c r="F415" s="16">
        <v>9.13</v>
      </c>
      <c r="G415" s="8" t="s">
        <v>58</v>
      </c>
      <c r="H415" s="8" t="s">
        <v>33</v>
      </c>
      <c r="I415" s="8">
        <v>1061.0</v>
      </c>
      <c r="J415" s="4" t="str">
        <f t="shared" si="1"/>
        <v>Poland</v>
      </c>
      <c r="K415" s="4" t="str">
        <f t="shared" si="2"/>
        <v>Warsaw</v>
      </c>
      <c r="L415" s="4" t="b">
        <v>0</v>
      </c>
    </row>
    <row r="416">
      <c r="A416" s="8">
        <v>423.0</v>
      </c>
      <c r="B416" s="8" t="s">
        <v>26</v>
      </c>
      <c r="C416" s="8" t="s">
        <v>45</v>
      </c>
      <c r="D416" s="8" t="s">
        <v>35</v>
      </c>
      <c r="E416" s="17">
        <v>45759.0</v>
      </c>
      <c r="F416" s="16">
        <v>27.09</v>
      </c>
      <c r="G416" s="8" t="s">
        <v>29</v>
      </c>
      <c r="H416" s="8" t="s">
        <v>41</v>
      </c>
      <c r="I416" s="8">
        <v>1076.0</v>
      </c>
      <c r="J416" s="4" t="str">
        <f t="shared" si="1"/>
        <v>Poland</v>
      </c>
      <c r="K416" s="4" t="str">
        <f t="shared" si="2"/>
        <v>Warsaw</v>
      </c>
      <c r="L416" s="4" t="b">
        <v>0</v>
      </c>
    </row>
    <row r="417">
      <c r="A417" s="8">
        <v>424.0</v>
      </c>
      <c r="B417" s="8" t="s">
        <v>26</v>
      </c>
      <c r="C417" s="8" t="s">
        <v>27</v>
      </c>
      <c r="D417" s="8" t="s">
        <v>32</v>
      </c>
      <c r="E417" s="17">
        <v>45770.0</v>
      </c>
      <c r="F417" s="16">
        <v>59.91</v>
      </c>
      <c r="G417" s="8" t="s">
        <v>29</v>
      </c>
      <c r="H417" s="8" t="s">
        <v>30</v>
      </c>
      <c r="I417" s="8">
        <v>1000.0</v>
      </c>
      <c r="J417" s="4" t="str">
        <f t="shared" si="1"/>
        <v>Czech Republic</v>
      </c>
      <c r="K417" s="4" t="str">
        <f t="shared" si="2"/>
        <v>Prague</v>
      </c>
      <c r="L417" s="4" t="b">
        <v>0</v>
      </c>
    </row>
    <row r="418">
      <c r="A418" s="8">
        <v>425.0</v>
      </c>
      <c r="B418" s="8" t="s">
        <v>26</v>
      </c>
      <c r="C418" s="8" t="s">
        <v>42</v>
      </c>
      <c r="D418" s="8" t="s">
        <v>43</v>
      </c>
      <c r="E418" s="17">
        <v>45706.0</v>
      </c>
      <c r="F418" s="16">
        <v>60.61</v>
      </c>
      <c r="G418" s="8" t="s">
        <v>36</v>
      </c>
      <c r="H418" s="8" t="s">
        <v>30</v>
      </c>
      <c r="I418" s="8">
        <v>1054.0</v>
      </c>
      <c r="J418" s="4" t="str">
        <f t="shared" si="1"/>
        <v>Germany</v>
      </c>
      <c r="K418" s="4" t="str">
        <f t="shared" si="2"/>
        <v>Berlin</v>
      </c>
      <c r="L418" s="4" t="b">
        <v>0</v>
      </c>
    </row>
    <row r="419">
      <c r="A419" s="8">
        <v>426.0</v>
      </c>
      <c r="B419" s="8" t="s">
        <v>26</v>
      </c>
      <c r="C419" s="8" t="s">
        <v>42</v>
      </c>
      <c r="D419" s="8" t="s">
        <v>28</v>
      </c>
      <c r="E419" s="17">
        <v>45730.0</v>
      </c>
      <c r="F419" s="16">
        <v>50.83</v>
      </c>
      <c r="G419" s="8" t="s">
        <v>36</v>
      </c>
      <c r="H419" s="8" t="s">
        <v>30</v>
      </c>
      <c r="I419" s="8">
        <v>1071.0</v>
      </c>
      <c r="J419" s="4" t="str">
        <f t="shared" si="1"/>
        <v>Germany</v>
      </c>
      <c r="K419" s="4" t="str">
        <f t="shared" si="2"/>
        <v>Berlin</v>
      </c>
      <c r="L419" s="4" t="b">
        <v>0</v>
      </c>
    </row>
    <row r="420">
      <c r="A420" s="8">
        <v>427.0</v>
      </c>
      <c r="B420" s="8" t="s">
        <v>26</v>
      </c>
      <c r="C420" s="8" t="s">
        <v>37</v>
      </c>
      <c r="D420" s="8" t="s">
        <v>35</v>
      </c>
      <c r="E420" s="17">
        <v>45719.0</v>
      </c>
      <c r="F420" s="16">
        <v>67.63</v>
      </c>
      <c r="G420" s="8" t="s">
        <v>40</v>
      </c>
      <c r="H420" s="8" t="s">
        <v>41</v>
      </c>
      <c r="I420" s="8">
        <v>1100.0</v>
      </c>
      <c r="J420" s="4" t="str">
        <f t="shared" si="1"/>
        <v>Ukraine</v>
      </c>
      <c r="K420" s="4" t="str">
        <f t="shared" si="2"/>
        <v>Kyiv</v>
      </c>
      <c r="L420" s="4" t="b">
        <v>0</v>
      </c>
    </row>
    <row r="421">
      <c r="A421" s="8">
        <v>428.0</v>
      </c>
      <c r="B421" s="8" t="s">
        <v>34</v>
      </c>
      <c r="C421" s="8" t="s">
        <v>27</v>
      </c>
      <c r="D421" s="8" t="s">
        <v>35</v>
      </c>
      <c r="E421" s="17">
        <v>45747.0</v>
      </c>
      <c r="F421" s="16">
        <v>63.33</v>
      </c>
      <c r="G421" s="8" t="s">
        <v>29</v>
      </c>
      <c r="H421" s="8" t="s">
        <v>33</v>
      </c>
      <c r="I421" s="8">
        <v>1049.0</v>
      </c>
      <c r="J421" s="4" t="str">
        <f t="shared" si="1"/>
        <v>Czech Republic</v>
      </c>
      <c r="K421" s="4" t="str">
        <f t="shared" si="2"/>
        <v>Prague</v>
      </c>
      <c r="L421" s="4" t="b">
        <v>0</v>
      </c>
    </row>
    <row r="422">
      <c r="A422" s="8">
        <v>430.0</v>
      </c>
      <c r="B422" s="8" t="s">
        <v>44</v>
      </c>
      <c r="C422" s="8" t="s">
        <v>42</v>
      </c>
      <c r="D422" s="8" t="s">
        <v>43</v>
      </c>
      <c r="E422" s="17">
        <v>45735.0</v>
      </c>
      <c r="F422" s="16">
        <v>94.84</v>
      </c>
      <c r="G422" s="8" t="s">
        <v>40</v>
      </c>
      <c r="H422" s="8" t="s">
        <v>30</v>
      </c>
      <c r="I422" s="8">
        <v>1063.0</v>
      </c>
      <c r="J422" s="4" t="str">
        <f t="shared" si="1"/>
        <v>Germany</v>
      </c>
      <c r="K422" s="4" t="str">
        <f t="shared" si="2"/>
        <v>Berlin</v>
      </c>
      <c r="L422" s="4" t="b">
        <v>0</v>
      </c>
    </row>
    <row r="423">
      <c r="A423" s="8">
        <v>432.0</v>
      </c>
      <c r="B423" s="8" t="s">
        <v>31</v>
      </c>
      <c r="C423" s="8" t="s">
        <v>45</v>
      </c>
      <c r="D423" s="8" t="s">
        <v>28</v>
      </c>
      <c r="E423" s="17">
        <v>45744.0</v>
      </c>
      <c r="F423" s="16">
        <v>42.95</v>
      </c>
      <c r="G423" s="8" t="s">
        <v>58</v>
      </c>
      <c r="H423" s="8" t="s">
        <v>41</v>
      </c>
      <c r="I423" s="8">
        <v>1075.0</v>
      </c>
      <c r="J423" s="4" t="str">
        <f t="shared" si="1"/>
        <v>Poland</v>
      </c>
      <c r="K423" s="4" t="str">
        <f t="shared" si="2"/>
        <v>Warsaw</v>
      </c>
      <c r="L423" s="4" t="b">
        <v>0</v>
      </c>
    </row>
    <row r="424">
      <c r="A424" s="8">
        <v>433.0</v>
      </c>
      <c r="B424" s="8" t="s">
        <v>34</v>
      </c>
      <c r="C424" s="8" t="s">
        <v>45</v>
      </c>
      <c r="D424" s="8" t="s">
        <v>43</v>
      </c>
      <c r="E424" s="17">
        <v>45683.0</v>
      </c>
      <c r="F424" s="16">
        <v>60.38</v>
      </c>
      <c r="G424" s="8" t="s">
        <v>36</v>
      </c>
      <c r="H424" s="8" t="s">
        <v>41</v>
      </c>
      <c r="I424" s="8">
        <v>1028.0</v>
      </c>
      <c r="J424" s="4" t="str">
        <f t="shared" si="1"/>
        <v>Poland</v>
      </c>
      <c r="K424" s="4" t="str">
        <f t="shared" si="2"/>
        <v>Warsaw</v>
      </c>
      <c r="L424" s="4" t="b">
        <v>0</v>
      </c>
    </row>
    <row r="425">
      <c r="A425" s="8">
        <v>434.0</v>
      </c>
      <c r="B425" s="8" t="s">
        <v>44</v>
      </c>
      <c r="C425" s="8" t="s">
        <v>42</v>
      </c>
      <c r="D425" s="8" t="s">
        <v>32</v>
      </c>
      <c r="E425" s="17">
        <v>45735.0</v>
      </c>
      <c r="F425" s="16">
        <v>15.11</v>
      </c>
      <c r="G425" s="8" t="s">
        <v>29</v>
      </c>
      <c r="H425" s="8" t="s">
        <v>30</v>
      </c>
      <c r="I425" s="8">
        <v>1037.0</v>
      </c>
      <c r="J425" s="4" t="str">
        <f t="shared" si="1"/>
        <v>Germany</v>
      </c>
      <c r="K425" s="4" t="str">
        <f t="shared" si="2"/>
        <v>Berlin</v>
      </c>
      <c r="L425" s="4" t="b">
        <v>0</v>
      </c>
    </row>
    <row r="426">
      <c r="A426" s="8">
        <v>435.0</v>
      </c>
      <c r="B426" s="8" t="s">
        <v>38</v>
      </c>
      <c r="C426" s="8" t="s">
        <v>37</v>
      </c>
      <c r="D426" s="8" t="s">
        <v>43</v>
      </c>
      <c r="E426" s="17">
        <v>45701.0</v>
      </c>
      <c r="F426" s="16">
        <v>58.5</v>
      </c>
      <c r="G426" s="8" t="s">
        <v>40</v>
      </c>
      <c r="H426" s="8" t="s">
        <v>41</v>
      </c>
      <c r="I426" s="8">
        <v>1099.0</v>
      </c>
      <c r="J426" s="4" t="str">
        <f t="shared" si="1"/>
        <v>Ukraine</v>
      </c>
      <c r="K426" s="4" t="str">
        <f t="shared" si="2"/>
        <v>Kyiv</v>
      </c>
      <c r="L426" s="4" t="b">
        <v>1</v>
      </c>
    </row>
    <row r="427">
      <c r="A427" s="8">
        <v>436.0</v>
      </c>
      <c r="B427" s="8" t="s">
        <v>38</v>
      </c>
      <c r="C427" s="8" t="s">
        <v>45</v>
      </c>
      <c r="D427" s="8" t="s">
        <v>35</v>
      </c>
      <c r="E427" s="17">
        <v>45716.0</v>
      </c>
      <c r="F427" s="16">
        <v>65.2</v>
      </c>
      <c r="G427" s="8" t="s">
        <v>40</v>
      </c>
      <c r="H427" s="8" t="s">
        <v>30</v>
      </c>
      <c r="I427" s="8">
        <v>1089.0</v>
      </c>
      <c r="J427" s="4" t="str">
        <f t="shared" si="1"/>
        <v>Poland</v>
      </c>
      <c r="K427" s="4" t="str">
        <f t="shared" si="2"/>
        <v>Warsaw</v>
      </c>
      <c r="L427" s="4" t="b">
        <v>0</v>
      </c>
    </row>
    <row r="428">
      <c r="A428" s="8">
        <v>437.0</v>
      </c>
      <c r="B428" s="8" t="s">
        <v>44</v>
      </c>
      <c r="C428" s="8" t="s">
        <v>37</v>
      </c>
      <c r="D428" s="8" t="s">
        <v>32</v>
      </c>
      <c r="E428" s="17">
        <v>45687.0</v>
      </c>
      <c r="F428" s="16">
        <v>32.29</v>
      </c>
      <c r="G428" s="8" t="s">
        <v>58</v>
      </c>
      <c r="H428" s="8" t="s">
        <v>30</v>
      </c>
      <c r="I428" s="8">
        <v>1095.0</v>
      </c>
      <c r="J428" s="4" t="str">
        <f t="shared" si="1"/>
        <v>Ukraine</v>
      </c>
      <c r="K428" s="4" t="str">
        <f t="shared" si="2"/>
        <v>Kyiv</v>
      </c>
      <c r="L428" s="4" t="b">
        <v>0</v>
      </c>
    </row>
    <row r="429">
      <c r="A429" s="8">
        <v>438.0</v>
      </c>
      <c r="B429" s="8" t="s">
        <v>38</v>
      </c>
      <c r="C429" s="8" t="s">
        <v>27</v>
      </c>
      <c r="D429" s="8" t="s">
        <v>35</v>
      </c>
      <c r="E429" s="17">
        <v>45763.0</v>
      </c>
      <c r="F429" s="16">
        <v>59.5</v>
      </c>
      <c r="G429" s="8" t="s">
        <v>40</v>
      </c>
      <c r="H429" s="8" t="s">
        <v>30</v>
      </c>
      <c r="I429" s="8">
        <v>1087.0</v>
      </c>
      <c r="J429" s="4" t="str">
        <f t="shared" si="1"/>
        <v>Czech Republic</v>
      </c>
      <c r="K429" s="4" t="str">
        <f t="shared" si="2"/>
        <v>Prague</v>
      </c>
      <c r="L429" s="4" t="b">
        <v>0</v>
      </c>
    </row>
    <row r="430">
      <c r="A430" s="8">
        <v>439.0</v>
      </c>
      <c r="B430" s="8" t="s">
        <v>44</v>
      </c>
      <c r="C430" s="8" t="s">
        <v>27</v>
      </c>
      <c r="D430" s="8" t="s">
        <v>28</v>
      </c>
      <c r="E430" s="17">
        <v>45777.0</v>
      </c>
      <c r="F430" s="16">
        <v>24.64</v>
      </c>
      <c r="G430" s="8" t="s">
        <v>40</v>
      </c>
      <c r="H430" s="8" t="s">
        <v>33</v>
      </c>
      <c r="I430" s="8">
        <v>1079.0</v>
      </c>
      <c r="J430" s="4" t="str">
        <f t="shared" si="1"/>
        <v>Czech Republic</v>
      </c>
      <c r="K430" s="4" t="str">
        <f t="shared" si="2"/>
        <v>Prague</v>
      </c>
      <c r="L430" s="4" t="b">
        <v>1</v>
      </c>
    </row>
    <row r="431">
      <c r="A431" s="8">
        <v>440.0</v>
      </c>
      <c r="B431" s="8" t="s">
        <v>34</v>
      </c>
      <c r="C431" s="16" t="s">
        <v>69</v>
      </c>
      <c r="D431" s="8" t="s">
        <v>32</v>
      </c>
      <c r="E431" s="17">
        <v>45703.0</v>
      </c>
      <c r="F431" s="16">
        <v>63.31</v>
      </c>
      <c r="G431" s="8" t="s">
        <v>29</v>
      </c>
      <c r="H431" s="8" t="s">
        <v>41</v>
      </c>
      <c r="I431" s="8">
        <v>1047.0</v>
      </c>
      <c r="J431" s="4" t="str">
        <f t="shared" si="1"/>
        <v>Poland</v>
      </c>
      <c r="K431" s="4" t="str">
        <f t="shared" si="2"/>
        <v>Warsaw</v>
      </c>
      <c r="L431" s="4" t="b">
        <v>1</v>
      </c>
    </row>
    <row r="432">
      <c r="A432" s="8">
        <v>441.0</v>
      </c>
      <c r="B432" s="8" t="s">
        <v>38</v>
      </c>
      <c r="C432" s="8" t="s">
        <v>37</v>
      </c>
      <c r="D432" s="8" t="s">
        <v>35</v>
      </c>
      <c r="E432" s="17">
        <v>45737.0</v>
      </c>
      <c r="F432" s="16">
        <v>53.56</v>
      </c>
      <c r="G432" s="8" t="s">
        <v>58</v>
      </c>
      <c r="H432" s="8" t="s">
        <v>33</v>
      </c>
      <c r="I432" s="8">
        <v>1096.0</v>
      </c>
      <c r="J432" s="4" t="str">
        <f t="shared" si="1"/>
        <v>Ukraine</v>
      </c>
      <c r="K432" s="4" t="str">
        <f t="shared" si="2"/>
        <v>Kyiv</v>
      </c>
      <c r="L432" s="4" t="b">
        <v>0</v>
      </c>
    </row>
    <row r="433">
      <c r="A433" s="8">
        <v>442.0</v>
      </c>
      <c r="B433" s="8" t="s">
        <v>38</v>
      </c>
      <c r="C433" s="8" t="s">
        <v>42</v>
      </c>
      <c r="D433" s="8" t="s">
        <v>35</v>
      </c>
      <c r="E433" s="17">
        <v>45731.0</v>
      </c>
      <c r="F433" s="16"/>
      <c r="G433" s="8" t="s">
        <v>36</v>
      </c>
      <c r="H433" s="8" t="s">
        <v>41</v>
      </c>
      <c r="I433" s="8">
        <v>1087.0</v>
      </c>
      <c r="J433" s="4" t="str">
        <f t="shared" si="1"/>
        <v>Germany</v>
      </c>
      <c r="K433" s="4" t="str">
        <f t="shared" si="2"/>
        <v>Berlin</v>
      </c>
      <c r="L433" s="4" t="b">
        <v>1</v>
      </c>
    </row>
    <row r="434">
      <c r="A434" s="8">
        <v>443.0</v>
      </c>
      <c r="B434" s="8" t="s">
        <v>34</v>
      </c>
      <c r="C434" s="8" t="s">
        <v>42</v>
      </c>
      <c r="D434" s="8" t="s">
        <v>43</v>
      </c>
      <c r="E434" s="17">
        <v>45757.0</v>
      </c>
      <c r="F434" s="16"/>
      <c r="G434" s="8" t="s">
        <v>40</v>
      </c>
      <c r="H434" s="8" t="s">
        <v>41</v>
      </c>
      <c r="I434" s="8">
        <v>1074.0</v>
      </c>
      <c r="J434" s="4" t="str">
        <f t="shared" si="1"/>
        <v>Germany</v>
      </c>
      <c r="K434" s="4" t="str">
        <f t="shared" si="2"/>
        <v>Berlin</v>
      </c>
      <c r="L434" s="4" t="b">
        <v>0</v>
      </c>
    </row>
    <row r="435">
      <c r="A435" s="8">
        <v>444.0</v>
      </c>
      <c r="B435" s="8" t="s">
        <v>38</v>
      </c>
      <c r="C435" s="8" t="s">
        <v>37</v>
      </c>
      <c r="D435" s="8" t="s">
        <v>28</v>
      </c>
      <c r="E435" s="17">
        <v>45670.0</v>
      </c>
      <c r="F435" s="16">
        <v>49.78</v>
      </c>
      <c r="G435" s="8" t="s">
        <v>36</v>
      </c>
      <c r="H435" s="8" t="s">
        <v>41</v>
      </c>
      <c r="I435" s="8">
        <v>1023.0</v>
      </c>
      <c r="J435" s="4" t="str">
        <f t="shared" si="1"/>
        <v>Ukraine</v>
      </c>
      <c r="K435" s="4" t="str">
        <f t="shared" si="2"/>
        <v>Kyiv</v>
      </c>
      <c r="L435" s="4" t="b">
        <v>0</v>
      </c>
    </row>
    <row r="436">
      <c r="A436" s="8">
        <v>445.0</v>
      </c>
      <c r="B436" s="8" t="s">
        <v>44</v>
      </c>
      <c r="C436" s="8" t="s">
        <v>37</v>
      </c>
      <c r="D436" s="8" t="s">
        <v>43</v>
      </c>
      <c r="E436" s="17">
        <v>45721.0</v>
      </c>
      <c r="F436" s="16">
        <v>22.09</v>
      </c>
      <c r="G436" s="8" t="s">
        <v>40</v>
      </c>
      <c r="H436" s="8" t="s">
        <v>30</v>
      </c>
      <c r="I436" s="8">
        <v>1087.0</v>
      </c>
      <c r="J436" s="4" t="str">
        <f t="shared" si="1"/>
        <v>Ukraine</v>
      </c>
      <c r="K436" s="4" t="str">
        <f t="shared" si="2"/>
        <v>Kyiv</v>
      </c>
      <c r="L436" s="4" t="b">
        <v>1</v>
      </c>
    </row>
    <row r="437">
      <c r="A437" s="8">
        <v>446.0</v>
      </c>
      <c r="B437" s="8" t="s">
        <v>26</v>
      </c>
      <c r="C437" s="8" t="s">
        <v>27</v>
      </c>
      <c r="D437" s="8" t="s">
        <v>35</v>
      </c>
      <c r="E437" s="17">
        <v>45687.0</v>
      </c>
      <c r="F437" s="16">
        <v>81.0</v>
      </c>
      <c r="G437" s="8" t="s">
        <v>40</v>
      </c>
      <c r="H437" s="8" t="s">
        <v>41</v>
      </c>
      <c r="I437" s="8">
        <v>1001.0</v>
      </c>
      <c r="J437" s="4" t="str">
        <f t="shared" si="1"/>
        <v>Czech Republic</v>
      </c>
      <c r="K437" s="4" t="str">
        <f t="shared" si="2"/>
        <v>Prague</v>
      </c>
      <c r="L437" s="4" t="b">
        <v>0</v>
      </c>
    </row>
    <row r="438">
      <c r="A438" s="8">
        <v>447.0</v>
      </c>
      <c r="B438" s="8" t="s">
        <v>31</v>
      </c>
      <c r="C438" s="8" t="s">
        <v>37</v>
      </c>
      <c r="D438" s="8" t="s">
        <v>35</v>
      </c>
      <c r="E438" s="17">
        <v>45680.0</v>
      </c>
      <c r="F438" s="16">
        <v>58.94</v>
      </c>
      <c r="G438" s="8" t="s">
        <v>58</v>
      </c>
      <c r="H438" s="8" t="s">
        <v>33</v>
      </c>
      <c r="I438" s="8">
        <v>1088.0</v>
      </c>
      <c r="J438" s="4" t="str">
        <f t="shared" si="1"/>
        <v>Ukraine</v>
      </c>
      <c r="K438" s="4" t="str">
        <f t="shared" si="2"/>
        <v>Kyiv</v>
      </c>
      <c r="L438" s="4" t="b">
        <v>0</v>
      </c>
    </row>
    <row r="439">
      <c r="A439" s="8">
        <v>448.0</v>
      </c>
      <c r="B439" s="8" t="s">
        <v>26</v>
      </c>
      <c r="C439" s="8" t="s">
        <v>42</v>
      </c>
      <c r="D439" s="8" t="s">
        <v>32</v>
      </c>
      <c r="E439" s="17">
        <v>45678.0</v>
      </c>
      <c r="F439" s="16">
        <v>39.29</v>
      </c>
      <c r="G439" s="8" t="s">
        <v>36</v>
      </c>
      <c r="H439" s="8" t="s">
        <v>41</v>
      </c>
      <c r="I439" s="8">
        <v>1002.0</v>
      </c>
      <c r="J439" s="4" t="str">
        <f t="shared" si="1"/>
        <v>Germany</v>
      </c>
      <c r="K439" s="4" t="str">
        <f t="shared" si="2"/>
        <v>Berlin</v>
      </c>
      <c r="L439" s="4" t="b">
        <v>0</v>
      </c>
    </row>
    <row r="440">
      <c r="A440" s="8">
        <v>449.0</v>
      </c>
      <c r="B440" s="8" t="s">
        <v>38</v>
      </c>
      <c r="C440" s="8" t="s">
        <v>27</v>
      </c>
      <c r="D440" s="8" t="s">
        <v>28</v>
      </c>
      <c r="E440" s="17">
        <v>45710.0</v>
      </c>
      <c r="F440" s="16">
        <v>35.88</v>
      </c>
      <c r="G440" s="8" t="s">
        <v>58</v>
      </c>
      <c r="H440" s="8" t="s">
        <v>30</v>
      </c>
      <c r="I440" s="8">
        <v>1057.0</v>
      </c>
      <c r="J440" s="4" t="str">
        <f t="shared" si="1"/>
        <v>Czech Republic</v>
      </c>
      <c r="K440" s="4" t="str">
        <f t="shared" si="2"/>
        <v>Prague</v>
      </c>
      <c r="L440" s="4" t="b">
        <v>1</v>
      </c>
    </row>
    <row r="441">
      <c r="A441" s="8">
        <v>450.0</v>
      </c>
      <c r="B441" s="8" t="s">
        <v>38</v>
      </c>
      <c r="C441" s="8" t="s">
        <v>37</v>
      </c>
      <c r="D441" s="8" t="s">
        <v>35</v>
      </c>
      <c r="E441" s="17">
        <v>45771.0</v>
      </c>
      <c r="F441" s="16">
        <v>20.92</v>
      </c>
      <c r="G441" s="8" t="s">
        <v>36</v>
      </c>
      <c r="H441" s="8" t="s">
        <v>41</v>
      </c>
      <c r="I441" s="8">
        <v>1080.0</v>
      </c>
      <c r="J441" s="4" t="str">
        <f t="shared" si="1"/>
        <v>Ukraine</v>
      </c>
      <c r="K441" s="4" t="str">
        <f t="shared" si="2"/>
        <v>Kyiv</v>
      </c>
      <c r="L441" s="4" t="b">
        <v>0</v>
      </c>
    </row>
    <row r="442">
      <c r="A442" s="8">
        <v>451.0</v>
      </c>
      <c r="B442" s="8" t="s">
        <v>34</v>
      </c>
      <c r="C442" s="8" t="s">
        <v>45</v>
      </c>
      <c r="D442" s="8" t="s">
        <v>28</v>
      </c>
      <c r="E442" s="17">
        <v>45736.0</v>
      </c>
      <c r="F442" s="16">
        <v>67.04</v>
      </c>
      <c r="G442" s="8" t="s">
        <v>36</v>
      </c>
      <c r="H442" s="8" t="s">
        <v>30</v>
      </c>
      <c r="I442" s="8">
        <v>1082.0</v>
      </c>
      <c r="J442" s="4" t="str">
        <f t="shared" si="1"/>
        <v>Poland</v>
      </c>
      <c r="K442" s="4" t="str">
        <f t="shared" si="2"/>
        <v>Warsaw</v>
      </c>
      <c r="L442" s="4" t="b">
        <v>0</v>
      </c>
    </row>
    <row r="443">
      <c r="A443" s="8">
        <v>452.0</v>
      </c>
      <c r="B443" s="8" t="s">
        <v>44</v>
      </c>
      <c r="C443" s="8" t="s">
        <v>37</v>
      </c>
      <c r="D443" s="8" t="s">
        <v>35</v>
      </c>
      <c r="E443" s="17">
        <v>45708.0</v>
      </c>
      <c r="F443" s="16">
        <v>7.19</v>
      </c>
      <c r="G443" s="8" t="s">
        <v>40</v>
      </c>
      <c r="H443" s="8" t="s">
        <v>30</v>
      </c>
      <c r="I443" s="8">
        <v>1032.0</v>
      </c>
      <c r="J443" s="4" t="str">
        <f t="shared" si="1"/>
        <v>Ukraine</v>
      </c>
      <c r="K443" s="4" t="str">
        <f t="shared" si="2"/>
        <v>Kyiv</v>
      </c>
      <c r="L443" s="4" t="b">
        <v>0</v>
      </c>
    </row>
    <row r="444">
      <c r="A444" s="8">
        <v>453.0</v>
      </c>
      <c r="B444" s="8" t="s">
        <v>34</v>
      </c>
      <c r="C444" s="8" t="s">
        <v>27</v>
      </c>
      <c r="D444" s="8" t="s">
        <v>28</v>
      </c>
      <c r="E444" s="17">
        <v>45778.0</v>
      </c>
      <c r="F444" s="16">
        <v>94.0</v>
      </c>
      <c r="G444" s="8" t="s">
        <v>58</v>
      </c>
      <c r="H444" s="8" t="s">
        <v>30</v>
      </c>
      <c r="I444" s="8">
        <v>1006.0</v>
      </c>
      <c r="J444" s="4" t="str">
        <f t="shared" si="1"/>
        <v>Czech Republic</v>
      </c>
      <c r="K444" s="4" t="str">
        <f t="shared" si="2"/>
        <v>Prague</v>
      </c>
      <c r="L444" s="4" t="b">
        <v>1</v>
      </c>
    </row>
    <row r="445">
      <c r="A445" s="8">
        <v>454.0</v>
      </c>
      <c r="B445" s="8" t="s">
        <v>38</v>
      </c>
      <c r="C445" s="8" t="s">
        <v>45</v>
      </c>
      <c r="D445" s="8" t="s">
        <v>32</v>
      </c>
      <c r="E445" s="17">
        <v>45661.0</v>
      </c>
      <c r="F445" s="16">
        <v>67.21</v>
      </c>
      <c r="G445" s="8" t="s">
        <v>58</v>
      </c>
      <c r="H445" s="8" t="s">
        <v>41</v>
      </c>
      <c r="I445" s="8">
        <v>1029.0</v>
      </c>
      <c r="J445" s="4" t="str">
        <f t="shared" si="1"/>
        <v>Poland</v>
      </c>
      <c r="K445" s="4" t="str">
        <f t="shared" si="2"/>
        <v>Warsaw</v>
      </c>
      <c r="L445" s="4" t="b">
        <v>1</v>
      </c>
    </row>
    <row r="446">
      <c r="A446" s="8">
        <v>455.0</v>
      </c>
      <c r="B446" s="8" t="s">
        <v>44</v>
      </c>
      <c r="C446" s="8" t="s">
        <v>27</v>
      </c>
      <c r="D446" s="8" t="s">
        <v>28</v>
      </c>
      <c r="E446" s="17">
        <v>45689.0</v>
      </c>
      <c r="F446" s="16">
        <v>8.34</v>
      </c>
      <c r="G446" s="8" t="s">
        <v>36</v>
      </c>
      <c r="H446" s="8" t="s">
        <v>41</v>
      </c>
      <c r="I446" s="8">
        <v>1060.0</v>
      </c>
      <c r="J446" s="4" t="str">
        <f t="shared" si="1"/>
        <v>Czech Republic</v>
      </c>
      <c r="K446" s="4" t="str">
        <f t="shared" si="2"/>
        <v>Prague</v>
      </c>
      <c r="L446" s="4" t="b">
        <v>1</v>
      </c>
    </row>
    <row r="447">
      <c r="A447" s="8">
        <v>456.0</v>
      </c>
      <c r="B447" s="8" t="s">
        <v>38</v>
      </c>
      <c r="C447" s="8" t="s">
        <v>37</v>
      </c>
      <c r="D447" s="8" t="s">
        <v>35</v>
      </c>
      <c r="E447" s="17">
        <v>45717.0</v>
      </c>
      <c r="F447" s="16">
        <v>56.23</v>
      </c>
      <c r="G447" s="8" t="s">
        <v>58</v>
      </c>
      <c r="H447" s="8" t="s">
        <v>30</v>
      </c>
      <c r="I447" s="8">
        <v>1095.0</v>
      </c>
      <c r="J447" s="4" t="str">
        <f t="shared" si="1"/>
        <v>Ukraine</v>
      </c>
      <c r="K447" s="4" t="str">
        <f t="shared" si="2"/>
        <v>Kyiv</v>
      </c>
      <c r="L447" s="4" t="b">
        <v>0</v>
      </c>
    </row>
    <row r="448">
      <c r="A448" s="8">
        <v>457.0</v>
      </c>
      <c r="B448" s="8" t="s">
        <v>44</v>
      </c>
      <c r="C448" s="8" t="s">
        <v>37</v>
      </c>
      <c r="D448" s="8" t="s">
        <v>43</v>
      </c>
      <c r="E448" s="17">
        <v>45739.0</v>
      </c>
      <c r="F448" s="16">
        <v>13.51</v>
      </c>
      <c r="G448" s="8" t="s">
        <v>36</v>
      </c>
      <c r="H448" s="8" t="s">
        <v>41</v>
      </c>
      <c r="I448" s="8">
        <v>1052.0</v>
      </c>
      <c r="J448" s="4" t="str">
        <f t="shared" si="1"/>
        <v>Ukraine</v>
      </c>
      <c r="K448" s="4" t="str">
        <f t="shared" si="2"/>
        <v>Kyiv</v>
      </c>
      <c r="L448" s="4" t="b">
        <v>1</v>
      </c>
    </row>
    <row r="449">
      <c r="A449" s="8">
        <v>458.0</v>
      </c>
      <c r="B449" s="8" t="s">
        <v>34</v>
      </c>
      <c r="C449" s="23" t="s">
        <v>68</v>
      </c>
      <c r="D449" s="8" t="s">
        <v>28</v>
      </c>
      <c r="E449" s="17">
        <v>45691.0</v>
      </c>
      <c r="F449" s="16">
        <v>5.79</v>
      </c>
      <c r="G449" s="8" t="s">
        <v>58</v>
      </c>
      <c r="H449" s="8" t="s">
        <v>41</v>
      </c>
      <c r="I449" s="8">
        <v>1038.0</v>
      </c>
      <c r="J449" s="4" t="str">
        <f t="shared" si="1"/>
        <v>Poland</v>
      </c>
      <c r="K449" s="4" t="str">
        <f t="shared" si="2"/>
        <v>Warsaw</v>
      </c>
      <c r="L449" s="4" t="b">
        <v>0</v>
      </c>
    </row>
    <row r="450">
      <c r="A450" s="8">
        <v>459.0</v>
      </c>
      <c r="B450" s="8" t="s">
        <v>26</v>
      </c>
      <c r="C450" s="8" t="s">
        <v>27</v>
      </c>
      <c r="D450" s="8" t="s">
        <v>32</v>
      </c>
      <c r="E450" s="17">
        <v>45659.0</v>
      </c>
      <c r="F450" s="16">
        <v>88.81</v>
      </c>
      <c r="G450" s="8" t="s">
        <v>58</v>
      </c>
      <c r="H450" s="8" t="s">
        <v>41</v>
      </c>
      <c r="I450" s="8">
        <v>1031.0</v>
      </c>
      <c r="J450" s="4" t="str">
        <f t="shared" si="1"/>
        <v>Czech Republic</v>
      </c>
      <c r="K450" s="4" t="str">
        <f t="shared" si="2"/>
        <v>Prague</v>
      </c>
      <c r="L450" s="4" t="b">
        <v>0</v>
      </c>
    </row>
    <row r="451">
      <c r="A451" s="8">
        <v>460.0</v>
      </c>
      <c r="B451" s="8" t="s">
        <v>44</v>
      </c>
      <c r="C451" s="8" t="s">
        <v>42</v>
      </c>
      <c r="D451" s="8" t="s">
        <v>28</v>
      </c>
      <c r="E451" s="17">
        <v>45678.0</v>
      </c>
      <c r="F451" s="16">
        <v>27.76</v>
      </c>
      <c r="G451" s="8" t="s">
        <v>36</v>
      </c>
      <c r="H451" s="8" t="s">
        <v>41</v>
      </c>
      <c r="I451" s="8">
        <v>1083.0</v>
      </c>
      <c r="J451" s="4" t="str">
        <f t="shared" si="1"/>
        <v>Germany</v>
      </c>
      <c r="K451" s="4" t="str">
        <f t="shared" si="2"/>
        <v>Berlin</v>
      </c>
      <c r="L451" s="4" t="b">
        <v>0</v>
      </c>
    </row>
    <row r="452">
      <c r="A452" s="8">
        <v>461.0</v>
      </c>
      <c r="B452" s="8" t="s">
        <v>26</v>
      </c>
      <c r="C452" s="8" t="s">
        <v>42</v>
      </c>
      <c r="D452" s="8" t="s">
        <v>28</v>
      </c>
      <c r="E452" s="17">
        <v>45753.0</v>
      </c>
      <c r="F452" s="16">
        <v>32.51</v>
      </c>
      <c r="G452" s="8" t="s">
        <v>58</v>
      </c>
      <c r="H452" s="8" t="s">
        <v>30</v>
      </c>
      <c r="I452" s="8">
        <v>1057.0</v>
      </c>
      <c r="J452" s="4" t="str">
        <f t="shared" si="1"/>
        <v>Germany</v>
      </c>
      <c r="K452" s="4" t="str">
        <f t="shared" si="2"/>
        <v>Berlin</v>
      </c>
      <c r="L452" s="4" t="b">
        <v>0</v>
      </c>
    </row>
    <row r="453">
      <c r="A453" s="8">
        <v>462.0</v>
      </c>
      <c r="B453" s="8" t="s">
        <v>44</v>
      </c>
      <c r="C453" s="8" t="s">
        <v>27</v>
      </c>
      <c r="D453" s="8" t="s">
        <v>43</v>
      </c>
      <c r="E453" s="21">
        <v>45692.0</v>
      </c>
      <c r="F453" s="16"/>
      <c r="G453" s="8" t="s">
        <v>29</v>
      </c>
      <c r="H453" s="8" t="s">
        <v>33</v>
      </c>
      <c r="I453" s="8">
        <v>1013.0</v>
      </c>
      <c r="J453" s="4" t="str">
        <f t="shared" si="1"/>
        <v>Czech Republic</v>
      </c>
      <c r="K453" s="4" t="str">
        <f t="shared" si="2"/>
        <v>Prague</v>
      </c>
      <c r="L453" s="4" t="b">
        <v>0</v>
      </c>
    </row>
    <row r="454">
      <c r="A454" s="8">
        <v>463.0</v>
      </c>
      <c r="B454" s="8" t="s">
        <v>44</v>
      </c>
      <c r="C454" s="23" t="s">
        <v>68</v>
      </c>
      <c r="D454" s="8" t="s">
        <v>28</v>
      </c>
      <c r="E454" s="17">
        <v>45694.0</v>
      </c>
      <c r="F454" s="16"/>
      <c r="G454" s="8" t="s">
        <v>40</v>
      </c>
      <c r="H454" s="8" t="s">
        <v>41</v>
      </c>
      <c r="I454" s="8">
        <v>1053.0</v>
      </c>
      <c r="J454" s="4" t="str">
        <f t="shared" si="1"/>
        <v>Poland</v>
      </c>
      <c r="K454" s="4" t="str">
        <f t="shared" si="2"/>
        <v>Warsaw</v>
      </c>
      <c r="L454" s="4" t="b">
        <v>0</v>
      </c>
    </row>
    <row r="455">
      <c r="A455" s="8">
        <v>464.0</v>
      </c>
      <c r="B455" s="8" t="s">
        <v>44</v>
      </c>
      <c r="C455" s="8" t="s">
        <v>37</v>
      </c>
      <c r="D455" s="8" t="s">
        <v>35</v>
      </c>
      <c r="E455" s="17">
        <v>45697.0</v>
      </c>
      <c r="F455" s="16"/>
      <c r="G455" s="8" t="s">
        <v>29</v>
      </c>
      <c r="H455" s="8" t="s">
        <v>33</v>
      </c>
      <c r="I455" s="8">
        <v>1007.0</v>
      </c>
      <c r="J455" s="4" t="str">
        <f t="shared" si="1"/>
        <v>Ukraine</v>
      </c>
      <c r="K455" s="4" t="str">
        <f t="shared" si="2"/>
        <v>Kyiv</v>
      </c>
      <c r="L455" s="4" t="b">
        <v>0</v>
      </c>
    </row>
    <row r="456">
      <c r="A456" s="8">
        <v>465.0</v>
      </c>
      <c r="B456" s="8" t="s">
        <v>34</v>
      </c>
      <c r="C456" s="8" t="s">
        <v>42</v>
      </c>
      <c r="D456" s="8" t="s">
        <v>28</v>
      </c>
      <c r="E456" s="17">
        <v>45692.0</v>
      </c>
      <c r="F456" s="16">
        <v>82.64</v>
      </c>
      <c r="G456" s="8" t="s">
        <v>29</v>
      </c>
      <c r="H456" s="8" t="s">
        <v>33</v>
      </c>
      <c r="I456" s="8">
        <v>1098.0</v>
      </c>
      <c r="J456" s="4" t="str">
        <f t="shared" si="1"/>
        <v>Germany</v>
      </c>
      <c r="K456" s="4" t="str">
        <f t="shared" si="2"/>
        <v>Berlin</v>
      </c>
      <c r="L456" s="4" t="b">
        <v>0</v>
      </c>
    </row>
    <row r="457">
      <c r="A457" s="8">
        <v>466.0</v>
      </c>
      <c r="B457" s="8" t="s">
        <v>44</v>
      </c>
      <c r="C457" s="8" t="s">
        <v>27</v>
      </c>
      <c r="D457" s="8" t="s">
        <v>32</v>
      </c>
      <c r="E457" s="17">
        <v>45749.0</v>
      </c>
      <c r="F457" s="16">
        <v>13.93</v>
      </c>
      <c r="G457" s="8" t="s">
        <v>40</v>
      </c>
      <c r="H457" s="8" t="s">
        <v>41</v>
      </c>
      <c r="I457" s="8">
        <v>1049.0</v>
      </c>
      <c r="J457" s="4" t="str">
        <f t="shared" si="1"/>
        <v>Czech Republic</v>
      </c>
      <c r="K457" s="4" t="str">
        <f t="shared" si="2"/>
        <v>Prague</v>
      </c>
      <c r="L457" s="4" t="b">
        <v>0</v>
      </c>
    </row>
    <row r="458">
      <c r="A458" s="8">
        <v>467.0</v>
      </c>
      <c r="B458" s="8" t="s">
        <v>26</v>
      </c>
      <c r="C458" s="8" t="s">
        <v>27</v>
      </c>
      <c r="D458" s="8" t="s">
        <v>32</v>
      </c>
      <c r="E458" s="17">
        <v>45745.0</v>
      </c>
      <c r="F458" s="16">
        <v>16.6</v>
      </c>
      <c r="G458" s="8" t="s">
        <v>58</v>
      </c>
      <c r="H458" s="8" t="s">
        <v>30</v>
      </c>
      <c r="I458" s="8">
        <v>1038.0</v>
      </c>
      <c r="J458" s="4" t="str">
        <f t="shared" si="1"/>
        <v>Czech Republic</v>
      </c>
      <c r="K458" s="4" t="str">
        <f t="shared" si="2"/>
        <v>Prague</v>
      </c>
      <c r="L458" s="4" t="b">
        <v>0</v>
      </c>
    </row>
    <row r="459">
      <c r="A459" s="8">
        <v>468.0</v>
      </c>
      <c r="B459" s="8" t="s">
        <v>34</v>
      </c>
      <c r="C459" s="8" t="s">
        <v>27</v>
      </c>
      <c r="D459" s="8" t="s">
        <v>32</v>
      </c>
      <c r="E459" s="17">
        <v>45683.0</v>
      </c>
      <c r="F459" s="16">
        <v>6.43</v>
      </c>
      <c r="G459" s="8" t="s">
        <v>36</v>
      </c>
      <c r="H459" s="8" t="s">
        <v>30</v>
      </c>
      <c r="I459" s="8">
        <v>1015.0</v>
      </c>
      <c r="J459" s="4" t="str">
        <f t="shared" si="1"/>
        <v>Czech Republic</v>
      </c>
      <c r="K459" s="4" t="str">
        <f t="shared" si="2"/>
        <v>Prague</v>
      </c>
      <c r="L459" s="4" t="b">
        <v>0</v>
      </c>
    </row>
    <row r="460">
      <c r="A460" s="8">
        <v>469.0</v>
      </c>
      <c r="B460" s="8" t="s">
        <v>34</v>
      </c>
      <c r="C460" s="8" t="s">
        <v>45</v>
      </c>
      <c r="D460" s="8" t="s">
        <v>35</v>
      </c>
      <c r="E460" s="17">
        <v>45708.0</v>
      </c>
      <c r="F460" s="16">
        <v>78.23</v>
      </c>
      <c r="G460" s="8" t="s">
        <v>40</v>
      </c>
      <c r="H460" s="8" t="s">
        <v>33</v>
      </c>
      <c r="I460" s="8">
        <v>1063.0</v>
      </c>
      <c r="J460" s="4" t="str">
        <f t="shared" si="1"/>
        <v>Poland</v>
      </c>
      <c r="K460" s="4" t="str">
        <f t="shared" si="2"/>
        <v>Warsaw</v>
      </c>
      <c r="L460" s="4" t="b">
        <v>0</v>
      </c>
    </row>
    <row r="461">
      <c r="A461" s="8">
        <v>470.0</v>
      </c>
      <c r="B461" s="8" t="s">
        <v>26</v>
      </c>
      <c r="C461" s="8" t="s">
        <v>45</v>
      </c>
      <c r="D461" s="8" t="s">
        <v>32</v>
      </c>
      <c r="E461" s="17">
        <v>45669.0</v>
      </c>
      <c r="F461" s="16">
        <v>55.95</v>
      </c>
      <c r="G461" s="8" t="s">
        <v>29</v>
      </c>
      <c r="H461" s="8" t="s">
        <v>33</v>
      </c>
      <c r="I461" s="8">
        <v>1062.0</v>
      </c>
      <c r="J461" s="4" t="str">
        <f t="shared" si="1"/>
        <v>Poland</v>
      </c>
      <c r="K461" s="4" t="str">
        <f t="shared" si="2"/>
        <v>Warsaw</v>
      </c>
      <c r="L461" s="4" t="b">
        <v>1</v>
      </c>
    </row>
    <row r="462">
      <c r="A462" s="8">
        <v>471.0</v>
      </c>
      <c r="B462" s="8" t="s">
        <v>38</v>
      </c>
      <c r="C462" s="8" t="s">
        <v>37</v>
      </c>
      <c r="D462" s="8" t="s">
        <v>35</v>
      </c>
      <c r="E462" s="17">
        <v>45687.0</v>
      </c>
      <c r="F462" s="16"/>
      <c r="G462" s="8" t="s">
        <v>58</v>
      </c>
      <c r="H462" s="8" t="s">
        <v>41</v>
      </c>
      <c r="I462" s="8">
        <v>1092.0</v>
      </c>
      <c r="J462" s="4" t="str">
        <f t="shared" si="1"/>
        <v>Ukraine</v>
      </c>
      <c r="K462" s="4" t="str">
        <f t="shared" si="2"/>
        <v>Kyiv</v>
      </c>
      <c r="L462" s="4" t="b">
        <v>0</v>
      </c>
    </row>
    <row r="463">
      <c r="A463" s="8">
        <v>472.0</v>
      </c>
      <c r="B463" s="8" t="s">
        <v>34</v>
      </c>
      <c r="C463" s="8" t="s">
        <v>42</v>
      </c>
      <c r="D463" s="8" t="s">
        <v>35</v>
      </c>
      <c r="E463" s="17">
        <v>45675.0</v>
      </c>
      <c r="F463" s="16">
        <v>51.56</v>
      </c>
      <c r="G463" s="8" t="s">
        <v>40</v>
      </c>
      <c r="H463" s="8" t="s">
        <v>30</v>
      </c>
      <c r="I463" s="8">
        <v>1044.0</v>
      </c>
      <c r="J463" s="4" t="str">
        <f t="shared" si="1"/>
        <v>Germany</v>
      </c>
      <c r="K463" s="4" t="str">
        <f t="shared" si="2"/>
        <v>Berlin</v>
      </c>
      <c r="L463" s="4" t="b">
        <v>1</v>
      </c>
    </row>
    <row r="464">
      <c r="A464" s="8">
        <v>473.0</v>
      </c>
      <c r="B464" s="8" t="s">
        <v>26</v>
      </c>
      <c r="C464" s="8" t="s">
        <v>27</v>
      </c>
      <c r="D464" s="8" t="s">
        <v>32</v>
      </c>
      <c r="E464" s="17">
        <v>45699.0</v>
      </c>
      <c r="F464" s="16">
        <v>82.84</v>
      </c>
      <c r="G464" s="8" t="s">
        <v>36</v>
      </c>
      <c r="H464" s="8" t="s">
        <v>41</v>
      </c>
      <c r="I464" s="8">
        <v>1000.0</v>
      </c>
      <c r="J464" s="4" t="str">
        <f t="shared" si="1"/>
        <v>Czech Republic</v>
      </c>
      <c r="K464" s="4" t="str">
        <f t="shared" si="2"/>
        <v>Prague</v>
      </c>
      <c r="L464" s="4" t="b">
        <v>0</v>
      </c>
    </row>
    <row r="465">
      <c r="A465" s="8">
        <v>474.0</v>
      </c>
      <c r="B465" s="8" t="s">
        <v>44</v>
      </c>
      <c r="C465" s="8" t="s">
        <v>27</v>
      </c>
      <c r="D465" s="8" t="s">
        <v>32</v>
      </c>
      <c r="E465" s="17">
        <v>45757.0</v>
      </c>
      <c r="F465" s="16">
        <v>63.92</v>
      </c>
      <c r="G465" s="8" t="s">
        <v>36</v>
      </c>
      <c r="H465" s="8" t="s">
        <v>30</v>
      </c>
      <c r="I465" s="8">
        <v>1008.0</v>
      </c>
      <c r="J465" s="4" t="str">
        <f t="shared" si="1"/>
        <v>Czech Republic</v>
      </c>
      <c r="K465" s="4" t="str">
        <f t="shared" si="2"/>
        <v>Prague</v>
      </c>
      <c r="L465" s="4" t="b">
        <v>0</v>
      </c>
    </row>
    <row r="466">
      <c r="A466" s="8">
        <v>475.0</v>
      </c>
      <c r="B466" s="8" t="s">
        <v>44</v>
      </c>
      <c r="C466" s="16" t="s">
        <v>67</v>
      </c>
      <c r="D466" s="8" t="s">
        <v>35</v>
      </c>
      <c r="E466" s="17">
        <v>45742.0</v>
      </c>
      <c r="F466" s="16">
        <v>31.9</v>
      </c>
      <c r="G466" s="8" t="s">
        <v>58</v>
      </c>
      <c r="H466" s="8" t="s">
        <v>30</v>
      </c>
      <c r="I466" s="8">
        <v>1041.0</v>
      </c>
      <c r="J466" s="4" t="str">
        <f t="shared" si="1"/>
        <v>Czech Republic</v>
      </c>
      <c r="K466" s="4" t="str">
        <f t="shared" si="2"/>
        <v>Prague</v>
      </c>
      <c r="L466" s="4" t="b">
        <v>0</v>
      </c>
    </row>
    <row r="467">
      <c r="A467" s="8">
        <v>476.0</v>
      </c>
      <c r="B467" s="8" t="s">
        <v>34</v>
      </c>
      <c r="C467" s="8" t="s">
        <v>45</v>
      </c>
      <c r="D467" s="8" t="s">
        <v>28</v>
      </c>
      <c r="E467" s="17">
        <v>45672.0</v>
      </c>
      <c r="F467" s="16"/>
      <c r="G467" s="8" t="s">
        <v>29</v>
      </c>
      <c r="H467" s="8" t="s">
        <v>41</v>
      </c>
      <c r="I467" s="8">
        <v>1024.0</v>
      </c>
      <c r="J467" s="4" t="str">
        <f t="shared" si="1"/>
        <v>Poland</v>
      </c>
      <c r="K467" s="4" t="str">
        <f t="shared" si="2"/>
        <v>Warsaw</v>
      </c>
      <c r="L467" s="4" t="b">
        <v>0</v>
      </c>
    </row>
    <row r="468">
      <c r="A468" s="8">
        <v>477.0</v>
      </c>
      <c r="B468" s="8" t="s">
        <v>44</v>
      </c>
      <c r="C468" s="8" t="s">
        <v>42</v>
      </c>
      <c r="D468" s="8" t="s">
        <v>43</v>
      </c>
      <c r="E468" s="17">
        <v>45670.0</v>
      </c>
      <c r="F468" s="16">
        <v>73.2</v>
      </c>
      <c r="G468" s="8" t="s">
        <v>29</v>
      </c>
      <c r="H468" s="8" t="s">
        <v>33</v>
      </c>
      <c r="I468" s="8">
        <v>1083.0</v>
      </c>
      <c r="J468" s="4" t="str">
        <f t="shared" si="1"/>
        <v>Germany</v>
      </c>
      <c r="K468" s="4" t="str">
        <f t="shared" si="2"/>
        <v>Berlin</v>
      </c>
      <c r="L468" s="4" t="b">
        <v>0</v>
      </c>
    </row>
    <row r="469">
      <c r="A469" s="8">
        <v>478.0</v>
      </c>
      <c r="B469" s="8" t="s">
        <v>34</v>
      </c>
      <c r="C469" s="8" t="s">
        <v>42</v>
      </c>
      <c r="D469" s="8" t="s">
        <v>32</v>
      </c>
      <c r="E469" s="17">
        <v>45720.0</v>
      </c>
      <c r="F469" s="16">
        <v>89.59</v>
      </c>
      <c r="G469" s="8" t="s">
        <v>36</v>
      </c>
      <c r="H469" s="8" t="s">
        <v>30</v>
      </c>
      <c r="I469" s="8">
        <v>1007.0</v>
      </c>
      <c r="J469" s="4" t="str">
        <f t="shared" si="1"/>
        <v>Germany</v>
      </c>
      <c r="K469" s="4" t="str">
        <f t="shared" si="2"/>
        <v>Berlin</v>
      </c>
      <c r="L469" s="4" t="b">
        <v>0</v>
      </c>
    </row>
    <row r="470">
      <c r="A470" s="8">
        <v>479.0</v>
      </c>
      <c r="B470" s="8" t="s">
        <v>38</v>
      </c>
      <c r="C470" s="8" t="s">
        <v>45</v>
      </c>
      <c r="D470" s="8" t="s">
        <v>32</v>
      </c>
      <c r="E470" s="17">
        <v>45763.0</v>
      </c>
      <c r="F470" s="16">
        <v>25.51</v>
      </c>
      <c r="G470" s="8" t="s">
        <v>29</v>
      </c>
      <c r="H470" s="8" t="s">
        <v>33</v>
      </c>
      <c r="I470" s="8">
        <v>1092.0</v>
      </c>
      <c r="J470" s="4" t="str">
        <f t="shared" si="1"/>
        <v>Poland</v>
      </c>
      <c r="K470" s="4" t="str">
        <f t="shared" si="2"/>
        <v>Warsaw</v>
      </c>
      <c r="L470" s="4" t="b">
        <v>1</v>
      </c>
    </row>
    <row r="471">
      <c r="A471" s="8">
        <v>480.0</v>
      </c>
      <c r="B471" s="8" t="s">
        <v>31</v>
      </c>
      <c r="C471" s="8" t="s">
        <v>27</v>
      </c>
      <c r="D471" s="8" t="s">
        <v>28</v>
      </c>
      <c r="E471" s="17">
        <v>45687.0</v>
      </c>
      <c r="F471" s="16">
        <v>58.05</v>
      </c>
      <c r="G471" s="8" t="s">
        <v>58</v>
      </c>
      <c r="H471" s="8" t="s">
        <v>30</v>
      </c>
      <c r="I471" s="8">
        <v>1013.0</v>
      </c>
      <c r="J471" s="4" t="str">
        <f t="shared" si="1"/>
        <v>Czech Republic</v>
      </c>
      <c r="K471" s="4" t="str">
        <f t="shared" si="2"/>
        <v>Prague</v>
      </c>
      <c r="L471" s="4" t="b">
        <v>1</v>
      </c>
    </row>
    <row r="472">
      <c r="A472" s="8">
        <v>481.0</v>
      </c>
      <c r="B472" s="8" t="s">
        <v>26</v>
      </c>
      <c r="C472" s="8" t="s">
        <v>42</v>
      </c>
      <c r="D472" s="8" t="s">
        <v>35</v>
      </c>
      <c r="E472" s="17">
        <v>45756.0</v>
      </c>
      <c r="F472" s="16">
        <v>22.14</v>
      </c>
      <c r="G472" s="8" t="s">
        <v>58</v>
      </c>
      <c r="H472" s="8" t="s">
        <v>30</v>
      </c>
      <c r="I472" s="8">
        <v>1043.0</v>
      </c>
      <c r="J472" s="4" t="str">
        <f t="shared" si="1"/>
        <v>Germany</v>
      </c>
      <c r="K472" s="4" t="str">
        <f t="shared" si="2"/>
        <v>Berlin</v>
      </c>
      <c r="L472" s="4" t="b">
        <v>1</v>
      </c>
    </row>
    <row r="473">
      <c r="A473" s="8">
        <v>482.0</v>
      </c>
      <c r="B473" s="8" t="s">
        <v>38</v>
      </c>
      <c r="C473" s="8" t="s">
        <v>42</v>
      </c>
      <c r="D473" s="8" t="s">
        <v>43</v>
      </c>
      <c r="E473" s="17">
        <v>45742.0</v>
      </c>
      <c r="F473" s="16">
        <v>99.7</v>
      </c>
      <c r="G473" s="8" t="s">
        <v>36</v>
      </c>
      <c r="H473" s="8" t="s">
        <v>41</v>
      </c>
      <c r="I473" s="8">
        <v>1097.0</v>
      </c>
      <c r="J473" s="4" t="str">
        <f t="shared" si="1"/>
        <v>Germany</v>
      </c>
      <c r="K473" s="4" t="str">
        <f t="shared" si="2"/>
        <v>Berlin</v>
      </c>
      <c r="L473" s="4" t="b">
        <v>0</v>
      </c>
    </row>
    <row r="474">
      <c r="A474" s="8">
        <v>483.0</v>
      </c>
      <c r="B474" s="8" t="s">
        <v>26</v>
      </c>
      <c r="C474" s="8" t="s">
        <v>27</v>
      </c>
      <c r="D474" s="8" t="s">
        <v>28</v>
      </c>
      <c r="E474" s="17">
        <v>45739.0</v>
      </c>
      <c r="F474" s="16">
        <v>75.73</v>
      </c>
      <c r="G474" s="8" t="s">
        <v>36</v>
      </c>
      <c r="H474" s="8" t="s">
        <v>41</v>
      </c>
      <c r="I474" s="8">
        <v>1057.0</v>
      </c>
      <c r="J474" s="4" t="str">
        <f t="shared" si="1"/>
        <v>Czech Republic</v>
      </c>
      <c r="K474" s="4" t="str">
        <f t="shared" si="2"/>
        <v>Prague</v>
      </c>
      <c r="L474" s="4" t="b">
        <v>1</v>
      </c>
    </row>
    <row r="475">
      <c r="A475" s="8">
        <v>485.0</v>
      </c>
      <c r="B475" s="8" t="s">
        <v>26</v>
      </c>
      <c r="C475" s="8" t="s">
        <v>27</v>
      </c>
      <c r="D475" s="8" t="s">
        <v>32</v>
      </c>
      <c r="E475" s="17">
        <v>45767.0</v>
      </c>
      <c r="F475" s="16">
        <v>18.15</v>
      </c>
      <c r="G475" s="8" t="s">
        <v>36</v>
      </c>
      <c r="H475" s="8" t="s">
        <v>30</v>
      </c>
      <c r="I475" s="8">
        <v>1031.0</v>
      </c>
      <c r="J475" s="4" t="str">
        <f t="shared" si="1"/>
        <v>Czech Republic</v>
      </c>
      <c r="K475" s="4" t="str">
        <f t="shared" si="2"/>
        <v>Prague</v>
      </c>
      <c r="L475" s="4" t="b">
        <v>0</v>
      </c>
    </row>
    <row r="476">
      <c r="A476" s="8">
        <v>486.0</v>
      </c>
      <c r="B476" s="8" t="s">
        <v>26</v>
      </c>
      <c r="C476" s="8" t="s">
        <v>45</v>
      </c>
      <c r="D476" s="8" t="s">
        <v>35</v>
      </c>
      <c r="E476" s="17">
        <v>45687.0</v>
      </c>
      <c r="F476" s="16">
        <v>12.33</v>
      </c>
      <c r="G476" s="8" t="s">
        <v>36</v>
      </c>
      <c r="H476" s="8" t="s">
        <v>41</v>
      </c>
      <c r="I476" s="8">
        <v>1022.0</v>
      </c>
      <c r="J476" s="4" t="str">
        <f t="shared" si="1"/>
        <v>Poland</v>
      </c>
      <c r="K476" s="4" t="str">
        <f t="shared" si="2"/>
        <v>Warsaw</v>
      </c>
      <c r="L476" s="4" t="b">
        <v>0</v>
      </c>
    </row>
    <row r="477">
      <c r="A477" s="8">
        <v>487.0</v>
      </c>
      <c r="B477" s="8" t="s">
        <v>38</v>
      </c>
      <c r="C477" s="8" t="s">
        <v>45</v>
      </c>
      <c r="D477" s="8" t="s">
        <v>43</v>
      </c>
      <c r="E477" s="17">
        <v>45720.0</v>
      </c>
      <c r="F477" s="16">
        <v>41.25</v>
      </c>
      <c r="G477" s="8" t="s">
        <v>29</v>
      </c>
      <c r="H477" s="8" t="s">
        <v>41</v>
      </c>
      <c r="I477" s="8">
        <v>1044.0</v>
      </c>
      <c r="J477" s="4" t="str">
        <f t="shared" si="1"/>
        <v>Poland</v>
      </c>
      <c r="K477" s="4" t="str">
        <f t="shared" si="2"/>
        <v>Warsaw</v>
      </c>
      <c r="L477" s="4" t="b">
        <v>0</v>
      </c>
    </row>
    <row r="478">
      <c r="A478" s="8">
        <v>488.0</v>
      </c>
      <c r="B478" s="8" t="s">
        <v>44</v>
      </c>
      <c r="C478" s="8" t="s">
        <v>45</v>
      </c>
      <c r="D478" s="8" t="s">
        <v>28</v>
      </c>
      <c r="E478" s="17">
        <v>45770.0</v>
      </c>
      <c r="F478" s="16">
        <v>93.22</v>
      </c>
      <c r="G478" s="8" t="s">
        <v>58</v>
      </c>
      <c r="H478" s="8" t="s">
        <v>33</v>
      </c>
      <c r="I478" s="8">
        <v>1039.0</v>
      </c>
      <c r="J478" s="4" t="str">
        <f t="shared" si="1"/>
        <v>Poland</v>
      </c>
      <c r="K478" s="4" t="str">
        <f t="shared" si="2"/>
        <v>Warsaw</v>
      </c>
      <c r="L478" s="4" t="b">
        <v>0</v>
      </c>
    </row>
    <row r="479">
      <c r="A479" s="8">
        <v>489.0</v>
      </c>
      <c r="B479" s="8" t="s">
        <v>38</v>
      </c>
      <c r="C479" s="8" t="s">
        <v>27</v>
      </c>
      <c r="D479" s="8" t="s">
        <v>43</v>
      </c>
      <c r="E479" s="17">
        <v>45725.0</v>
      </c>
      <c r="F479" s="16">
        <v>9.8</v>
      </c>
      <c r="G479" s="8" t="s">
        <v>58</v>
      </c>
      <c r="H479" s="8" t="s">
        <v>41</v>
      </c>
      <c r="I479" s="8">
        <v>1096.0</v>
      </c>
      <c r="J479" s="4" t="str">
        <f t="shared" si="1"/>
        <v>Czech Republic</v>
      </c>
      <c r="K479" s="4" t="str">
        <f t="shared" si="2"/>
        <v>Prague</v>
      </c>
      <c r="L479" s="4" t="b">
        <v>0</v>
      </c>
    </row>
    <row r="480">
      <c r="A480" s="8">
        <v>490.0</v>
      </c>
      <c r="B480" s="8" t="s">
        <v>34</v>
      </c>
      <c r="C480" s="8" t="s">
        <v>27</v>
      </c>
      <c r="D480" s="8" t="s">
        <v>35</v>
      </c>
      <c r="E480" s="17">
        <v>45734.0</v>
      </c>
      <c r="F480" s="16">
        <v>17.56</v>
      </c>
      <c r="G480" s="8" t="s">
        <v>29</v>
      </c>
      <c r="H480" s="8" t="s">
        <v>41</v>
      </c>
      <c r="I480" s="8">
        <v>1073.0</v>
      </c>
      <c r="J480" s="4" t="str">
        <f t="shared" si="1"/>
        <v>Czech Republic</v>
      </c>
      <c r="K480" s="4" t="str">
        <f t="shared" si="2"/>
        <v>Prague</v>
      </c>
      <c r="L480" s="4" t="b">
        <v>0</v>
      </c>
    </row>
    <row r="481">
      <c r="A481" s="8">
        <v>491.0</v>
      </c>
      <c r="B481" s="8" t="s">
        <v>44</v>
      </c>
      <c r="C481" s="8" t="s">
        <v>37</v>
      </c>
      <c r="D481" s="8" t="s">
        <v>32</v>
      </c>
      <c r="E481" s="17">
        <v>45753.0</v>
      </c>
      <c r="F481" s="16">
        <v>71.3</v>
      </c>
      <c r="G481" s="8" t="s">
        <v>40</v>
      </c>
      <c r="H481" s="8" t="s">
        <v>41</v>
      </c>
      <c r="I481" s="8">
        <v>1071.0</v>
      </c>
      <c r="J481" s="4" t="str">
        <f t="shared" si="1"/>
        <v>Ukraine</v>
      </c>
      <c r="K481" s="4" t="str">
        <f t="shared" si="2"/>
        <v>Kyiv</v>
      </c>
      <c r="L481" s="4" t="b">
        <v>0</v>
      </c>
    </row>
    <row r="482">
      <c r="A482" s="8">
        <v>492.0</v>
      </c>
      <c r="B482" s="8" t="s">
        <v>38</v>
      </c>
      <c r="C482" s="16" t="s">
        <v>67</v>
      </c>
      <c r="D482" s="8" t="s">
        <v>28</v>
      </c>
      <c r="E482" s="17">
        <v>45683.0</v>
      </c>
      <c r="F482" s="16">
        <v>45.86</v>
      </c>
      <c r="G482" s="8" t="s">
        <v>29</v>
      </c>
      <c r="H482" s="8" t="s">
        <v>33</v>
      </c>
      <c r="I482" s="8">
        <v>1085.0</v>
      </c>
      <c r="J482" s="4" t="str">
        <f t="shared" si="1"/>
        <v>Czech Republic</v>
      </c>
      <c r="K482" s="4" t="str">
        <f t="shared" si="2"/>
        <v>Prague</v>
      </c>
      <c r="L482" s="4" t="b">
        <v>1</v>
      </c>
    </row>
    <row r="483">
      <c r="A483" s="8">
        <v>493.0</v>
      </c>
      <c r="B483" s="8" t="s">
        <v>26</v>
      </c>
      <c r="C483" s="8" t="s">
        <v>27</v>
      </c>
      <c r="D483" s="8" t="s">
        <v>43</v>
      </c>
      <c r="E483" s="17">
        <v>45710.0</v>
      </c>
      <c r="F483" s="16">
        <v>78.12</v>
      </c>
      <c r="G483" s="8" t="s">
        <v>40</v>
      </c>
      <c r="H483" s="8" t="s">
        <v>41</v>
      </c>
      <c r="I483" s="8">
        <v>1078.0</v>
      </c>
      <c r="J483" s="4" t="str">
        <f t="shared" si="1"/>
        <v>Czech Republic</v>
      </c>
      <c r="K483" s="4" t="str">
        <f t="shared" si="2"/>
        <v>Prague</v>
      </c>
      <c r="L483" s="4" t="b">
        <v>0</v>
      </c>
    </row>
    <row r="484">
      <c r="A484" s="8">
        <v>494.0</v>
      </c>
      <c r="B484" s="8" t="s">
        <v>44</v>
      </c>
      <c r="C484" s="8" t="s">
        <v>27</v>
      </c>
      <c r="D484" s="8" t="s">
        <v>35</v>
      </c>
      <c r="E484" s="17">
        <v>45763.0</v>
      </c>
      <c r="F484" s="16">
        <v>23.97</v>
      </c>
      <c r="G484" s="8" t="s">
        <v>36</v>
      </c>
      <c r="H484" s="8" t="s">
        <v>33</v>
      </c>
      <c r="I484" s="8">
        <v>1096.0</v>
      </c>
      <c r="J484" s="4" t="str">
        <f t="shared" si="1"/>
        <v>Czech Republic</v>
      </c>
      <c r="K484" s="4" t="str">
        <f t="shared" si="2"/>
        <v>Prague</v>
      </c>
      <c r="L484" s="4" t="b">
        <v>0</v>
      </c>
    </row>
    <row r="485">
      <c r="A485" s="8">
        <v>495.0</v>
      </c>
      <c r="B485" s="8" t="s">
        <v>34</v>
      </c>
      <c r="C485" s="23" t="s">
        <v>68</v>
      </c>
      <c r="D485" s="8" t="s">
        <v>28</v>
      </c>
      <c r="E485" s="17">
        <v>45751.0</v>
      </c>
      <c r="F485" s="16">
        <v>87.53</v>
      </c>
      <c r="G485" s="8" t="s">
        <v>36</v>
      </c>
      <c r="H485" s="8" t="s">
        <v>33</v>
      </c>
      <c r="I485" s="8">
        <v>1043.0</v>
      </c>
      <c r="J485" s="4" t="str">
        <f t="shared" si="1"/>
        <v>Poland</v>
      </c>
      <c r="K485" s="4" t="str">
        <f t="shared" si="2"/>
        <v>Warsaw</v>
      </c>
      <c r="L485" s="4" t="b">
        <v>0</v>
      </c>
    </row>
    <row r="486">
      <c r="A486" s="8">
        <v>496.0</v>
      </c>
      <c r="B486" s="8" t="s">
        <v>26</v>
      </c>
      <c r="C486" s="8" t="s">
        <v>42</v>
      </c>
      <c r="D486" s="8" t="s">
        <v>35</v>
      </c>
      <c r="E486" s="21">
        <v>45746.0</v>
      </c>
      <c r="F486" s="16">
        <v>56.11</v>
      </c>
      <c r="G486" s="8" t="s">
        <v>40</v>
      </c>
      <c r="H486" s="8" t="s">
        <v>30</v>
      </c>
      <c r="I486" s="8">
        <v>1066.0</v>
      </c>
      <c r="J486" s="4" t="str">
        <f t="shared" si="1"/>
        <v>Germany</v>
      </c>
      <c r="K486" s="4" t="str">
        <f t="shared" si="2"/>
        <v>Berlin</v>
      </c>
      <c r="L486" s="4" t="b">
        <v>1</v>
      </c>
    </row>
    <row r="487">
      <c r="A487" s="8">
        <v>497.0</v>
      </c>
      <c r="B487" s="8" t="s">
        <v>44</v>
      </c>
      <c r="C487" s="8" t="s">
        <v>27</v>
      </c>
      <c r="D487" s="8" t="s">
        <v>32</v>
      </c>
      <c r="E487" s="17">
        <v>45754.0</v>
      </c>
      <c r="F487" s="16">
        <v>55.05</v>
      </c>
      <c r="G487" s="8" t="s">
        <v>36</v>
      </c>
      <c r="H487" s="8" t="s">
        <v>33</v>
      </c>
      <c r="I487" s="8">
        <v>1007.0</v>
      </c>
      <c r="J487" s="4" t="str">
        <f t="shared" si="1"/>
        <v>Czech Republic</v>
      </c>
      <c r="K487" s="4" t="str">
        <f t="shared" si="2"/>
        <v>Prague</v>
      </c>
      <c r="L487" s="4" t="b">
        <v>0</v>
      </c>
    </row>
    <row r="488">
      <c r="A488" s="8">
        <v>498.0</v>
      </c>
      <c r="B488" s="8" t="s">
        <v>38</v>
      </c>
      <c r="C488" s="8" t="s">
        <v>37</v>
      </c>
      <c r="D488" s="8" t="s">
        <v>32</v>
      </c>
      <c r="E488" s="17">
        <v>45694.0</v>
      </c>
      <c r="F488" s="16">
        <v>11.33</v>
      </c>
      <c r="G488" s="8" t="s">
        <v>36</v>
      </c>
      <c r="H488" s="8" t="s">
        <v>30</v>
      </c>
      <c r="I488" s="8">
        <v>1084.0</v>
      </c>
      <c r="J488" s="4" t="str">
        <f t="shared" si="1"/>
        <v>Ukraine</v>
      </c>
      <c r="K488" s="4" t="str">
        <f t="shared" si="2"/>
        <v>Kyiv</v>
      </c>
      <c r="L488" s="4" t="b">
        <v>0</v>
      </c>
    </row>
    <row r="489">
      <c r="A489" s="8">
        <v>499.0</v>
      </c>
      <c r="B489" s="8" t="s">
        <v>34</v>
      </c>
      <c r="C489" s="8" t="s">
        <v>37</v>
      </c>
      <c r="D489" s="8" t="s">
        <v>35</v>
      </c>
      <c r="E489" s="17">
        <v>45704.0</v>
      </c>
      <c r="F489" s="16">
        <v>97.78</v>
      </c>
      <c r="G489" s="8" t="s">
        <v>29</v>
      </c>
      <c r="H489" s="8" t="s">
        <v>41</v>
      </c>
      <c r="I489" s="8">
        <v>1062.0</v>
      </c>
      <c r="J489" s="4" t="str">
        <f t="shared" si="1"/>
        <v>Ukraine</v>
      </c>
      <c r="K489" s="4" t="str">
        <f t="shared" si="2"/>
        <v>Kyiv</v>
      </c>
      <c r="L489" s="4" t="b">
        <v>0</v>
      </c>
    </row>
  </sheetData>
  <drawing r:id="rId1"/>
</worksheet>
</file>